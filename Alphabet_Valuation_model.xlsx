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niof\Documents\"/>
    </mc:Choice>
  </mc:AlternateContent>
  <xr:revisionPtr revIDLastSave="0" documentId="13_ncr:1_{07F9F4FC-6497-42B0-9116-FA29831FB591}" xr6:coauthVersionLast="47" xr6:coauthVersionMax="47" xr10:uidLastSave="{00000000-0000-0000-0000-000000000000}"/>
  <bookViews>
    <workbookView xWindow="11424" yWindow="0" windowWidth="11712" windowHeight="12336" firstSheet="1" activeTab="2" xr2:uid="{0C5E085D-9830-4003-9527-40152829346F}"/>
  </bookViews>
  <sheets>
    <sheet name="Control Panel" sheetId="4" r:id="rId1"/>
    <sheet name="Operating Model" sheetId="1" r:id="rId2"/>
    <sheet name="WACC" sheetId="7" r:id="rId3"/>
    <sheet name="DCF" sheetId="8" r:id="rId4"/>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7" l="1"/>
  <c r="C20" i="7" s="1"/>
  <c r="C13" i="7"/>
  <c r="I8" i="8"/>
  <c r="H8" i="8"/>
  <c r="H7" i="8"/>
  <c r="K60" i="1"/>
  <c r="L60" i="1" s="1"/>
  <c r="M60" i="1" s="1"/>
  <c r="N60" i="1" s="1"/>
  <c r="O60" i="1" s="1"/>
  <c r="I61" i="1"/>
  <c r="J61" i="1"/>
  <c r="H61" i="1"/>
  <c r="H50" i="1"/>
  <c r="I50" i="1"/>
  <c r="J50" i="1"/>
  <c r="G50" i="1"/>
  <c r="G57" i="1"/>
  <c r="H57" i="1"/>
  <c r="I57" i="1"/>
  <c r="J57" i="1"/>
  <c r="J58" i="1" s="1"/>
  <c r="I58" i="1"/>
  <c r="K72" i="1"/>
  <c r="D73" i="1"/>
  <c r="D71" i="1"/>
  <c r="D31" i="1"/>
  <c r="D29" i="1"/>
  <c r="D27" i="1"/>
  <c r="D23" i="1"/>
  <c r="H73" i="1"/>
  <c r="I73" i="1"/>
  <c r="J73" i="1"/>
  <c r="G73" i="1"/>
  <c r="K68" i="1"/>
  <c r="L68" i="1" s="1"/>
  <c r="M68" i="1" s="1"/>
  <c r="N68" i="1" s="1"/>
  <c r="O68" i="1" s="1"/>
  <c r="L9" i="8" s="1"/>
  <c r="M9" i="8" s="1"/>
  <c r="I69" i="1"/>
  <c r="J69" i="1"/>
  <c r="L77" i="1"/>
  <c r="L72" i="1" s="1"/>
  <c r="M77" i="1"/>
  <c r="N77" i="1" s="1"/>
  <c r="O77" i="1" s="1"/>
  <c r="O72" i="1" s="1"/>
  <c r="I78" i="1"/>
  <c r="J78" i="1"/>
  <c r="K78" i="1"/>
  <c r="H78" i="1"/>
  <c r="K66" i="1"/>
  <c r="L66" i="1" s="1"/>
  <c r="M66" i="1" s="1"/>
  <c r="N66" i="1" s="1"/>
  <c r="O66" i="1" s="1"/>
  <c r="L7" i="8" s="1"/>
  <c r="M7" i="8" s="1"/>
  <c r="M8" i="8" s="1"/>
  <c r="I67" i="1"/>
  <c r="J67" i="1"/>
  <c r="H67" i="1"/>
  <c r="K16" i="1"/>
  <c r="K12" i="1"/>
  <c r="L12" i="1" s="1"/>
  <c r="M12" i="1" s="1"/>
  <c r="N12" i="1" s="1"/>
  <c r="O12" i="1" s="1"/>
  <c r="K10" i="1"/>
  <c r="L10" i="1" s="1"/>
  <c r="M10" i="1" s="1"/>
  <c r="N10" i="1" s="1"/>
  <c r="O10" i="1" s="1"/>
  <c r="K9" i="1"/>
  <c r="L9" i="1"/>
  <c r="M9" i="1"/>
  <c r="N9" i="1"/>
  <c r="O9" i="1"/>
  <c r="K6" i="1"/>
  <c r="L6" i="1" s="1"/>
  <c r="M6" i="1" s="1"/>
  <c r="N6" i="1" s="1"/>
  <c r="O6" i="1" s="1"/>
  <c r="I17" i="1"/>
  <c r="J17" i="1"/>
  <c r="I13" i="1"/>
  <c r="J13" i="1"/>
  <c r="I11" i="1"/>
  <c r="J11" i="1"/>
  <c r="I9" i="1"/>
  <c r="J9" i="1"/>
  <c r="H17" i="1"/>
  <c r="H13" i="1"/>
  <c r="H11" i="1"/>
  <c r="H9" i="1"/>
  <c r="H14" i="1"/>
  <c r="H20" i="1" s="1"/>
  <c r="H23" i="1" s="1"/>
  <c r="I14" i="1"/>
  <c r="I20" i="1" s="1"/>
  <c r="I23" i="1" s="1"/>
  <c r="J14" i="1"/>
  <c r="J20" i="1" s="1"/>
  <c r="J23" i="1" s="1"/>
  <c r="G14" i="1"/>
  <c r="G20" i="1" s="1"/>
  <c r="G24" i="1" s="1"/>
  <c r="G34" i="1" s="1"/>
  <c r="G38" i="1" s="1"/>
  <c r="G42" i="1" s="1"/>
  <c r="G65" i="1" s="1"/>
  <c r="I7" i="1"/>
  <c r="J7" i="1"/>
  <c r="H7" i="1"/>
  <c r="J74" i="1"/>
  <c r="I74" i="1"/>
  <c r="H74" i="1"/>
  <c r="G74" i="1"/>
  <c r="G68" i="1"/>
  <c r="K7" i="8" l="1"/>
  <c r="J7" i="8"/>
  <c r="I7" i="8"/>
  <c r="H9" i="8"/>
  <c r="G69" i="1"/>
  <c r="K9" i="8"/>
  <c r="J9" i="8"/>
  <c r="C14" i="7"/>
  <c r="C15" i="7" s="1"/>
  <c r="I9" i="8"/>
  <c r="K8" i="8"/>
  <c r="J8" i="8"/>
  <c r="L8" i="8"/>
  <c r="H58" i="1"/>
  <c r="K57" i="1"/>
  <c r="L57" i="1" s="1"/>
  <c r="M57" i="1" s="1"/>
  <c r="N57" i="1" s="1"/>
  <c r="O57" i="1" s="1"/>
  <c r="G75" i="1"/>
  <c r="G80" i="1" s="1"/>
  <c r="M72" i="1"/>
  <c r="N72" i="1"/>
  <c r="G71" i="1"/>
  <c r="J71" i="1"/>
  <c r="I71" i="1"/>
  <c r="H71" i="1"/>
  <c r="H69" i="1"/>
  <c r="G27" i="1"/>
  <c r="G29" i="1"/>
  <c r="I29" i="1"/>
  <c r="H29" i="1"/>
  <c r="J31" i="1"/>
  <c r="I31" i="1"/>
  <c r="H31" i="1"/>
  <c r="G41" i="1"/>
  <c r="J27" i="1"/>
  <c r="I27" i="1"/>
  <c r="H27" i="1"/>
  <c r="G31" i="1"/>
  <c r="G35" i="1"/>
  <c r="J29" i="1"/>
  <c r="O14" i="1"/>
  <c r="G23" i="1"/>
  <c r="N14" i="1"/>
  <c r="M14" i="1"/>
  <c r="H15" i="1"/>
  <c r="J15" i="1"/>
  <c r="I15" i="1"/>
  <c r="L14" i="1"/>
  <c r="K14" i="1"/>
  <c r="K15" i="1" s="1"/>
  <c r="L16" i="1"/>
  <c r="I24" i="1"/>
  <c r="I34" i="1" s="1"/>
  <c r="I21" i="1"/>
  <c r="H24" i="1"/>
  <c r="H34" i="1" s="1"/>
  <c r="H21" i="1"/>
  <c r="J21" i="1"/>
  <c r="J24" i="1"/>
  <c r="K20" i="1" l="1"/>
  <c r="K70" i="1" s="1"/>
  <c r="J34" i="1"/>
  <c r="J35" i="1" s="1"/>
  <c r="H38" i="1"/>
  <c r="H35" i="1"/>
  <c r="I38" i="1"/>
  <c r="I35" i="1"/>
  <c r="K30" i="1"/>
  <c r="K26" i="1"/>
  <c r="L15" i="1"/>
  <c r="M15" i="1"/>
  <c r="N15" i="1"/>
  <c r="O15" i="1"/>
  <c r="L20" i="1"/>
  <c r="L70" i="1" s="1"/>
  <c r="M16" i="1"/>
  <c r="A65" i="1"/>
  <c r="K22" i="1" l="1"/>
  <c r="K21" i="1"/>
  <c r="K24" i="1"/>
  <c r="J38" i="1"/>
  <c r="J41" i="1" s="1"/>
  <c r="I42" i="1"/>
  <c r="I65" i="1" s="1"/>
  <c r="I41" i="1"/>
  <c r="L26" i="1"/>
  <c r="L30" i="1"/>
  <c r="H42" i="1"/>
  <c r="H65" i="1" s="1"/>
  <c r="H41" i="1"/>
  <c r="L21" i="1"/>
  <c r="L22" i="1"/>
  <c r="L24" i="1" s="1"/>
  <c r="M20" i="1"/>
  <c r="M70" i="1" s="1"/>
  <c r="N16" i="1"/>
  <c r="I75" i="1" l="1"/>
  <c r="I80" i="1" s="1"/>
  <c r="H75" i="1"/>
  <c r="H80" i="1" s="1"/>
  <c r="J42" i="1"/>
  <c r="J65" i="1" s="1"/>
  <c r="M30" i="1"/>
  <c r="M26" i="1"/>
  <c r="M21" i="1"/>
  <c r="M22" i="1"/>
  <c r="M24" i="1" s="1"/>
  <c r="N20" i="1"/>
  <c r="N70" i="1" s="1"/>
  <c r="O16" i="1"/>
  <c r="O20" i="1" s="1"/>
  <c r="O70" i="1" s="1"/>
  <c r="J75" i="1" l="1"/>
  <c r="J80" i="1" s="1"/>
  <c r="N30" i="1"/>
  <c r="N26" i="1"/>
  <c r="O21" i="1"/>
  <c r="O30" i="1"/>
  <c r="O26" i="1"/>
  <c r="N21" i="1"/>
  <c r="N22" i="1"/>
  <c r="N24" i="1" s="1"/>
  <c r="B2" i="1" l="1"/>
  <c r="O22" i="1" l="1"/>
  <c r="O24" i="1" s="1"/>
  <c r="K28" i="1"/>
  <c r="K32" i="1" s="1"/>
  <c r="K34" i="1" s="1"/>
  <c r="H6" i="8" s="1"/>
  <c r="H10" i="8" s="1"/>
  <c r="H11" i="8" s="1"/>
  <c r="L28" i="1"/>
  <c r="L32" i="1" s="1"/>
  <c r="L34" i="1" s="1"/>
  <c r="I6" i="8" s="1"/>
  <c r="I10" i="8" s="1"/>
  <c r="I11" i="8" s="1"/>
  <c r="M28" i="1"/>
  <c r="M32" i="1" s="1"/>
  <c r="M34" i="1" s="1"/>
  <c r="J6" i="8" s="1"/>
  <c r="J10" i="8" s="1"/>
  <c r="J11" i="8" s="1"/>
  <c r="N28" i="1"/>
  <c r="N32" i="1" s="1"/>
  <c r="N34" i="1" s="1"/>
  <c r="K6" i="8" s="1"/>
  <c r="K10" i="8" s="1"/>
  <c r="K11" i="8" s="1"/>
  <c r="O28" i="1"/>
  <c r="O32" i="1" s="1"/>
  <c r="K35" i="1" l="1"/>
  <c r="K38" i="1"/>
  <c r="N38" i="1"/>
  <c r="N35" i="1"/>
  <c r="L35" i="1"/>
  <c r="L38" i="1"/>
  <c r="M38" i="1"/>
  <c r="M35" i="1"/>
  <c r="O34" i="1"/>
  <c r="L6" i="8" s="1"/>
  <c r="M6" i="8" l="1"/>
  <c r="M10" i="8" s="1"/>
  <c r="C24" i="7" s="1"/>
  <c r="C25" i="7" s="1"/>
  <c r="L10" i="8"/>
  <c r="L11" i="8" s="1"/>
  <c r="K40" i="1"/>
  <c r="K42" i="1" s="1"/>
  <c r="K65" i="1" s="1"/>
  <c r="K75" i="1" s="1"/>
  <c r="K80" i="1" s="1"/>
  <c r="O38" i="1"/>
  <c r="O35" i="1"/>
  <c r="M40" i="1"/>
  <c r="M42" i="1" s="1"/>
  <c r="M65" i="1" s="1"/>
  <c r="M75" i="1" s="1"/>
  <c r="M80" i="1" s="1"/>
  <c r="L40" i="1"/>
  <c r="L42" i="1"/>
  <c r="L65" i="1" s="1"/>
  <c r="L75" i="1" s="1"/>
  <c r="L80" i="1" s="1"/>
  <c r="N40" i="1"/>
  <c r="N42" i="1"/>
  <c r="N65" i="1" s="1"/>
  <c r="N75" i="1" s="1"/>
  <c r="N80" i="1" s="1"/>
  <c r="C26" i="7" l="1"/>
  <c r="C27" i="7" s="1"/>
  <c r="C28" i="7" s="1"/>
  <c r="O40" i="1"/>
  <c r="O42" i="1" s="1"/>
  <c r="O65" i="1" s="1"/>
  <c r="O75" i="1" s="1"/>
  <c r="O80" i="1" s="1"/>
  <c r="G48" i="1"/>
  <c r="H48" i="1"/>
  <c r="I48" i="1"/>
  <c r="J48" i="1"/>
  <c r="K50" i="1"/>
  <c r="K47" i="1" l="1"/>
  <c r="K49" i="1"/>
  <c r="L50" i="1"/>
  <c r="L47" i="1" l="1"/>
  <c r="L49" i="1"/>
  <c r="M50" i="1"/>
  <c r="N50" i="1" l="1"/>
  <c r="M47" i="1"/>
  <c r="M49" i="1"/>
  <c r="O50" i="1" l="1"/>
  <c r="O47" i="1" s="1"/>
  <c r="O49" i="1" s="1"/>
  <c r="N47" i="1"/>
  <c r="N4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Anjan Mohal</author>
  </authors>
  <commentList>
    <comment ref="K77" authorId="0" shapeId="0" xr:uid="{9A7E8C2E-9D5B-40EA-A5F6-F6BF5DFE46C4}">
      <text>
        <r>
          <rPr>
            <b/>
            <sz val="9"/>
            <color indexed="81"/>
            <rFont val="Tahoma"/>
            <family val="2"/>
          </rPr>
          <t>Anjan Mohal:</t>
        </r>
        <r>
          <rPr>
            <sz val="9"/>
            <color indexed="81"/>
            <rFont val="Tahoma"/>
            <family val="2"/>
          </rPr>
          <t xml:space="preserve">
Managemeht states they expect CaPeX to be in range of $175 and $185
</t>
        </r>
      </text>
    </comment>
  </commentList>
</comments>
</file>

<file path=xl/sharedStrings.xml><?xml version="1.0" encoding="utf-8"?>
<sst xmlns="http://schemas.openxmlformats.org/spreadsheetml/2006/main" count="148" uniqueCount="124">
  <si>
    <t>Actual or Forecast</t>
  </si>
  <si>
    <t>Actual</t>
  </si>
  <si>
    <t>Year</t>
  </si>
  <si>
    <t>Line Item</t>
  </si>
  <si>
    <t>Assumptions</t>
  </si>
  <si>
    <t>Notes</t>
  </si>
  <si>
    <t>Income Statement</t>
  </si>
  <si>
    <t>Revenue</t>
  </si>
  <si>
    <t>Total Revenue</t>
  </si>
  <si>
    <t>Gross Profit</t>
  </si>
  <si>
    <t>Operating Expense</t>
  </si>
  <si>
    <t>Operating Income</t>
  </si>
  <si>
    <t>Net Income</t>
  </si>
  <si>
    <t>Balance Sheet</t>
  </si>
  <si>
    <t>Assets</t>
  </si>
  <si>
    <t>Cash</t>
  </si>
  <si>
    <t>Liabilities</t>
  </si>
  <si>
    <t>Equity</t>
  </si>
  <si>
    <t>Formatting Guide</t>
  </si>
  <si>
    <t>What it looks like</t>
  </si>
  <si>
    <t>What it means</t>
  </si>
  <si>
    <t>Blue font, no shading = hardcoded actual</t>
  </si>
  <si>
    <t>Black font, no shading = formula</t>
  </si>
  <si>
    <t>Statement of Cash Flows</t>
  </si>
  <si>
    <t>Gray shading = deliberately left blank</t>
  </si>
  <si>
    <t>Forecast</t>
  </si>
  <si>
    <t>Google Search &amp; other</t>
  </si>
  <si>
    <t>Youtube ads</t>
  </si>
  <si>
    <t>Google Network</t>
  </si>
  <si>
    <t>Google Cloud</t>
  </si>
  <si>
    <t>Other Bets</t>
  </si>
  <si>
    <t>Hedging gains(losses)</t>
  </si>
  <si>
    <t>Google subscriptions, platforms and devices</t>
  </si>
  <si>
    <t xml:space="preserve">Google Services </t>
  </si>
  <si>
    <t>Cost of revenues</t>
  </si>
  <si>
    <t>R&amp;D</t>
  </si>
  <si>
    <t>Sales &amp; marketing</t>
  </si>
  <si>
    <t>General &amp; administrative</t>
  </si>
  <si>
    <t>Other Income(expense)</t>
  </si>
  <si>
    <t>Income before Income taxes</t>
  </si>
  <si>
    <t>Free Cash flow</t>
  </si>
  <si>
    <t>Cash &amp; Cash equivalents</t>
  </si>
  <si>
    <t>Marketable securities</t>
  </si>
  <si>
    <t>Total debt</t>
  </si>
  <si>
    <t>Income Tax Expense</t>
  </si>
  <si>
    <t>Stock-based compensation</t>
  </si>
  <si>
    <t>Cash flow from operating activities</t>
  </si>
  <si>
    <t>Deffered Taxes</t>
  </si>
  <si>
    <t>Depreciation of property and equipment</t>
  </si>
  <si>
    <t>Purchases of property and equipment</t>
  </si>
  <si>
    <t>Other non-cash adjustments</t>
  </si>
  <si>
    <t>Long-term debt</t>
  </si>
  <si>
    <t>Commerical paper</t>
  </si>
  <si>
    <t>Current portion pf long-temr notes</t>
  </si>
  <si>
    <t>Current portion of uiture… andf othe rcurrent debt</t>
  </si>
  <si>
    <t>Diluted Shares outstanding</t>
  </si>
  <si>
    <t>As the Ai surge excietments slows dowmn the growth rast increas e slows down and starts tod ecrease and taper doiwn to almost pre ai but  abit higher as AOI had led to mroi eporple using it</t>
  </si>
  <si>
    <t>"YouTube ads forecast using a constant absolute dollar increase (~$4-4.5bn/year), based on the actual 2024-2025 trend, rather than a constant % growth rate — reflecting a maturing segment without a distinct new growth catalyst (unlike Search's AI-driven acceleration or Cloud's enterprise AI demand). This method naturally implies a decelerating growth rate over the forecast period as the same dollar increase represents a shrinking percentage of an ever-larger base."</t>
  </si>
  <si>
    <t>"Google Network revenue has been in structural decline (-4.48% in 2023, -3.04% in 2024, -1.87% in 2025), and management provided no commentary or forward guidance on this segment in the Q4 2025 earnings call beyond stating the quarterly decline, suggesting it is not a strategic priority. Given the consistent trend of decline decelerating each year and no evidence of a turnaround catalyst, I assumed the rate of decline continues to ease and flattens out near breakeven (-1.0% → -0.5% → -0.3% → +0.1% → +0.1%), reflecting a mature/legacy segment stabilizing rather than reversing into meaningful growth."</t>
  </si>
  <si>
    <t>"Subscriptions, Platforms and Devices has consistently outgrown Search historically (19.39%, 16.29%, 19.06% vs. Search's 7.75%, 13.17%, 13.35% in 2023-2025), driven by Google One/Gemini premium plan adoption, AI-driven demand for additional storage (larger file sizes from AI-generated content), and subscriber migration from YouTube's ad-supported tier to YouTube Premium/Music. Because this segment's revenue base ($48.0bn in 2025) is much smaller than Search's ($224.5bn), it has more room to sustain high growth before hitting the same base-size constraints — so I tapered it from 19% to 15% over 2026-2030, ending meaningfully above Search's terminal rate to reflect its comparatively smaller scale and stronger recent trend. Note: some of this growth is not fully incremental to the company, as management has noted that YouTube ad-supported users migrating to Premium slightly reduces YouTube Ads revenue while boosting this segment."</t>
  </si>
  <si>
    <t>Google Cloud revenue growth has accelerated every year historically (25.91% in 2023, 30.65% in 2024, 35.80% in 2025) — the opposite trend of Search or Network. Unlike those segments, Cloud is explicitly supply-constrained rather than demand-constrained: management reported a $240bn backlog (up 55% quarter-over-quarter), stated that customer demand continues to exceed available compute capacity, and confirmed this constraint is expected to persist through 2026. Over half of Alphabet's total 2026 ML compute allocation is being directed to Cloud specifically, backed by the company's $175-185bn 2026 CapEx guidance. Because the binding constraint is capacity rather than customer appetite, I assumed growth continues to climb as new capacity comes online and works through the existing backlog (40% → 43% → 45%), before beginning to ease (45.5% → 44%) as the segment's own revenue base grows large enough (nearing $250-350bn) that even a persistent supply-side tailwind can't fully offset the effect of compounding off an ever-larger base. This is a deliberately bullish assumption reflecting management's explicit conviction and quantified backlog evidence, and results in Cloud approaching Search in absolute size by 2030 — a bold but source-backed call.</t>
  </si>
  <si>
    <t>Cost of Revenue as % of Revenue has improved consistently from 45% (2022) to 40% (2025), reflecting operating leverage as revenue scales faster than underlying costs. However, this trend does not continue unchanged going forward: management stated that 2025's cost of revenue growth (13% YoY) was driven partly by rising depreciation from technical infrastructure deployment, and explicitly guided that depreciation growth will 'accelerate' and 'meaningfully increase' in 2026, reflecting the delayed P&amp;L impact of the 2025 CapEx surge ($91bn) and 2026 guidance ($175-185bn). Because CapEx is capitalized and depreciated over many years rather than expensed immediately, there is a multi-year lag between CapEx spending and its full Cost of Revenue impact — meaning the heaviest pressure from 2025-2026's CapEx wave is expected to hit in 2027-2030, not 2025-2026 itself. I assumed the historical improvement trend continues for one more year (39% in 2026-2027) before reversing as the depreciation lag catches up, rising to 42% by 2030."</t>
  </si>
  <si>
    <t>Operating Margin</t>
  </si>
  <si>
    <t>YoY Growth Rate</t>
  </si>
  <si>
    <t>Changes in operating assets&amp;liabilities</t>
  </si>
  <si>
    <t>Beta</t>
  </si>
  <si>
    <t>Equity Risk premium</t>
  </si>
  <si>
    <t>Risk free rate</t>
  </si>
  <si>
    <t>Cost of equity</t>
  </si>
  <si>
    <t>Shares outstanding</t>
  </si>
  <si>
    <t>Weight of equity</t>
  </si>
  <si>
    <t>Weight of debt</t>
  </si>
  <si>
    <t>WACC</t>
  </si>
  <si>
    <t>DCF Valuation</t>
  </si>
  <si>
    <t>NOPAT</t>
  </si>
  <si>
    <t>Free Cash Flow to Firm</t>
  </si>
  <si>
    <t>Operating Income*(1-Tax Rate)</t>
  </si>
  <si>
    <t>D&amp;A</t>
  </si>
  <si>
    <t>Capex</t>
  </si>
  <si>
    <t>Change in Working Capital</t>
  </si>
  <si>
    <t>Terminal growth rate</t>
  </si>
  <si>
    <t>Present Value of FCFF</t>
  </si>
  <si>
    <t>Enterprise Value</t>
  </si>
  <si>
    <t>Cost of Debt (pre-tax)</t>
  </si>
  <si>
    <t xml:space="preserve">
Cost of Debt (after-tax)</t>
  </si>
  <si>
    <t>Market Value of Equity (Market Cap)</t>
  </si>
  <si>
    <t>Market value of debt</t>
  </si>
  <si>
    <t>Total capital</t>
  </si>
  <si>
    <t>Bridge to Equity Value</t>
  </si>
  <si>
    <t>Implied Share price</t>
  </si>
  <si>
    <t>Not in Billions</t>
  </si>
  <si>
    <t>Normalized temrinal value</t>
  </si>
  <si>
    <t>PV of normalized terminal value</t>
  </si>
  <si>
    <t>in billions (12,228,000,000 shares)</t>
  </si>
  <si>
    <t>Share price close</t>
  </si>
  <si>
    <t>Cost of Equity</t>
  </si>
  <si>
    <t>Cost of Debt</t>
  </si>
  <si>
    <t>Commentary</t>
  </si>
  <si>
    <t>Capital Structure</t>
  </si>
  <si>
    <t>Terminal Value &amp; DCF Bridge</t>
  </si>
  <si>
    <t>Return you recieve on a low-risk U.S. Treasury investment</t>
  </si>
  <si>
    <t>Measures Alphabet's share price volatility relative to the overall market. A beta of 1.24 indicates higher volatility than the market, 1.</t>
  </si>
  <si>
    <t>Additional return investors require for investing in the market rather than risk-free assets</t>
  </si>
  <si>
    <t>RFR+ (Beta*ERP)</t>
  </si>
  <si>
    <t>Adjusted for the tax benefit of interest: Pre-tax Cost of Debt × (1 − Tax Rate).</t>
  </si>
  <si>
    <t>Share price × shares outstanding.</t>
  </si>
  <si>
    <t>Total debt outstanding.</t>
  </si>
  <si>
    <t>Weighted average of the cost of equity and after-tax cost of debt.</t>
  </si>
  <si>
    <t>Value of the business beyond the explicit forecast period, based on the terminal growth assumption.</t>
  </si>
  <si>
    <t>Present value of forecast cash flows + present value of terminal value.</t>
  </si>
  <si>
    <t>Enterprise value adjusted for net debt and other relevant balance-sheet items</t>
  </si>
  <si>
    <t>Estimated using Alphabet's high credit rating and an approximately 0.5% spread over the risk-free rate.</t>
  </si>
  <si>
    <t>NOT IN BILLIONS</t>
  </si>
  <si>
    <t>Assumed long-term growth rate of 2.5%, below WACC and consistent with long-term economic growth and inflation expectations.</t>
  </si>
  <si>
    <t>Orange shading = Note attached to cell</t>
  </si>
  <si>
    <t>"Held at $0 due to high historical volatility and lack of a reliable operating trend"</t>
  </si>
  <si>
    <t>“Effective tax rate held at the historical average of 16% due to no forward guidance"</t>
  </si>
  <si>
    <t>"Debt growth reflects increased financing needs during the CapEx ramp, then moderates as FCF recovers"</t>
  </si>
  <si>
    <t>“Growth accelerates initially following higher CapEx, then gradually decelerates as investment normalizes"</t>
  </si>
  <si>
    <t>"Held near the latest historical level of 9–11% of CapEx rather than extrapolating the sharp historical change"</t>
  </si>
  <si>
    <t>“Held at $0 due to high volatility and lack of a reliable operating trend"</t>
  </si>
  <si>
    <t>“2026 uses the midpoint of Alphabet's $175–185bn guidance, with growth gradually slowing thereafter"</t>
  </si>
  <si>
    <t>(In Billions)</t>
  </si>
  <si>
    <t>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</si>
</sst>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_);\(&quot;$&quot;#,##0\)"/>
    <numFmt numFmtId="165" formatCode="_(* #,##0_);_(* \(#,##0\);_(* &quot;   -&quot;?_);_(@_)"/>
    <numFmt numFmtId="166" formatCode="0.0%"/>
    <numFmt numFmtId="169" formatCode="_(* #,##0.0_);_(* \(#,##0.0\);_(* &quot;   -&quot;?_);_(@_)"/>
    <numFmt numFmtId="170" formatCode="&quot;$&quot;#,##0.0_);\(&quot;$&quot;#,##0.0\)"/>
    <numFmt numFmtId="171" formatCode="0.0"/>
    <numFmt numFmtId="172" formatCode="0.0%;\(0.0%\)"/>
    <numFmt numFmtId="180" formatCode="[$$-409]#,##0.00"/>
  </numFmts>
  <fonts count="16" x14ac:knownFonts="1">
    <font>
      <sz val="10"/>
      <color theme="1"/>
      <name val="Calibri"/>
      <family val="2"/>
    </font>
    <font>
      <sz val="10"/>
      <color theme="1"/>
      <name val="Calibri"/>
      <family val="2"/>
    </font>
    <font>
      <sz val="10"/>
      <color rgb="FFFF0000"/>
      <name val="Calibri"/>
      <family val="2"/>
    </font>
    <font>
      <b/>
      <sz val="10"/>
      <color theme="1"/>
      <name val="Calibri"/>
      <family val="2"/>
    </font>
    <font>
      <b/>
      <sz val="10"/>
      <color rgb="FF0000FF"/>
      <name val="Calibri"/>
      <family val="2"/>
    </font>
    <font>
      <i/>
      <sz val="10"/>
      <color theme="1"/>
      <name val="Calibri"/>
      <family val="2"/>
    </font>
    <font>
      <sz val="10"/>
      <color rgb="FF0000FF"/>
      <name val="Calibri"/>
      <family val="2"/>
    </font>
    <font>
      <b/>
      <sz val="10"/>
      <color rgb="FFFF0000"/>
      <name val="Calibri"/>
      <family val="2"/>
    </font>
    <font>
      <sz val="10"/>
      <name val="Calibri"/>
      <family val="2"/>
    </font>
    <font>
      <b/>
      <u val="singleAccounting"/>
      <sz val="10"/>
      <color theme="1"/>
      <name val="Calibri"/>
      <family val="2"/>
    </font>
    <font>
      <i/>
      <sz val="10"/>
      <name val="Calibri"/>
      <family val="2"/>
    </font>
    <font>
      <b/>
      <sz val="10"/>
      <name val="Calibri"/>
      <family val="2"/>
    </font>
    <font>
      <i/>
      <sz val="10"/>
      <color rgb="FF0000FF"/>
      <name val="Calibri"/>
      <family val="2"/>
    </font>
    <font>
      <sz val="9"/>
      <color indexed="81"/>
      <name val="Tahoma"/>
      <family val="2"/>
    </font>
    <font>
      <b/>
      <sz val="9"/>
      <color indexed="81"/>
      <name val="Tahoma"/>
      <family val="2"/>
    </font>
    <font>
      <b/>
      <i/>
      <sz val="10"/>
      <color theme="1"/>
      <name val="Calibri"/>
      <family val="2"/>
    </font>
  </fonts>
  <fills count="7">
    <fill>
      <patternFill patternType="none"/>
    </fill>
    <fill>
      <patternFill patternType="gray125"/>
    </fill>
    <fill>
      <patternFill patternType="solid">
        <fgColor theme="4" tint="0.7999816888943144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5" tint="0.39997558519241921"/>
        <bgColor indexed="64"/>
      </patternFill>
    </fill>
  </fills>
  <borders count="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82">
    <xf numFmtId="0" fontId="0" fillId="0" borderId="0" xfId="0"/>
    <xf numFmtId="0" fontId="1" fillId="0" borderId="0" xfId="0" applyFont="1"/>
    <xf numFmtId="0" fontId="3" fillId="0" borderId="0" xfId="0" applyFont="1" applyAlignment="1">
      <alignment horizontal="right"/>
    </xf>
    <xf numFmtId="0" fontId="3" fillId="0" borderId="0" xfId="0" applyFont="1"/>
    <xf numFmtId="0" fontId="3" fillId="2" borderId="0" xfId="0" applyFont="1" applyFill="1"/>
    <xf numFmtId="0" fontId="4" fillId="2" borderId="0" xfId="0" applyFont="1" applyFill="1"/>
    <xf numFmtId="0" fontId="1" fillId="0" borderId="0" xfId="0" applyFont="1" applyAlignment="1">
      <alignment horizontal="left" indent="1"/>
    </xf>
    <xf numFmtId="0" fontId="1" fillId="0" borderId="1" xfId="0" applyFont="1" applyBorder="1"/>
    <xf numFmtId="0" fontId="5" fillId="0" borderId="0" xfId="0" applyFont="1" applyAlignment="1">
      <alignment horizontal="left" indent="1"/>
    </xf>
    <xf numFmtId="0" fontId="5" fillId="0" borderId="0" xfId="0" applyFont="1"/>
    <xf numFmtId="0" fontId="2" fillId="0" borderId="0" xfId="0" applyFont="1"/>
    <xf numFmtId="164" fontId="6" fillId="0" borderId="0" xfId="0" applyNumberFormat="1" applyFont="1"/>
    <xf numFmtId="0" fontId="0" fillId="0" borderId="1" xfId="0" applyBorder="1"/>
    <xf numFmtId="164" fontId="7" fillId="0" borderId="2" xfId="0" applyNumberFormat="1" applyFont="1" applyBorder="1"/>
    <xf numFmtId="164" fontId="8" fillId="0" borderId="0" xfId="0" applyNumberFormat="1" applyFont="1"/>
    <xf numFmtId="0" fontId="9" fillId="0" borderId="0" xfId="0" applyFont="1" applyAlignment="1">
      <alignment horizontal="centerContinuous"/>
    </xf>
    <xf numFmtId="0" fontId="0" fillId="0" borderId="0" xfId="0" applyAlignment="1">
      <alignment horizontal="left" indent="1"/>
    </xf>
    <xf numFmtId="0" fontId="0" fillId="4" borderId="0" xfId="0" applyFill="1"/>
    <xf numFmtId="166" fontId="6" fillId="3" borderId="2" xfId="1" applyNumberFormat="1" applyFont="1" applyFill="1" applyBorder="1" applyAlignment="1">
      <alignment horizontal="center"/>
    </xf>
    <xf numFmtId="164" fontId="1" fillId="5" borderId="0" xfId="0" applyNumberFormat="1" applyFont="1" applyFill="1"/>
    <xf numFmtId="0" fontId="11" fillId="0" borderId="0" xfId="0" applyFont="1"/>
    <xf numFmtId="0" fontId="0" fillId="0" borderId="0" xfId="0" applyAlignment="1">
      <alignment horizontal="left" indent="2"/>
    </xf>
    <xf numFmtId="0" fontId="0" fillId="0" borderId="0" xfId="0" applyAlignment="1">
      <alignment horizontal="left"/>
    </xf>
    <xf numFmtId="0" fontId="0" fillId="0" borderId="1" xfId="0" applyBorder="1" applyAlignment="1">
      <alignment horizontal="left"/>
    </xf>
    <xf numFmtId="169" fontId="1" fillId="0" borderId="0" xfId="0" applyNumberFormat="1" applyFont="1"/>
    <xf numFmtId="169" fontId="1" fillId="0" borderId="1" xfId="0" applyNumberFormat="1" applyFont="1" applyBorder="1"/>
    <xf numFmtId="169" fontId="5" fillId="0" borderId="0" xfId="0" applyNumberFormat="1" applyFont="1"/>
    <xf numFmtId="170" fontId="6" fillId="0" borderId="0" xfId="0" applyNumberFormat="1" applyFont="1"/>
    <xf numFmtId="170" fontId="6" fillId="0" borderId="1" xfId="0" applyNumberFormat="1" applyFont="1" applyBorder="1"/>
    <xf numFmtId="171" fontId="6" fillId="0" borderId="0" xfId="0" applyNumberFormat="1" applyFont="1"/>
    <xf numFmtId="0" fontId="5" fillId="0" borderId="0" xfId="0" applyFont="1" applyAlignment="1">
      <alignment horizontal="left" indent="3"/>
    </xf>
    <xf numFmtId="10" fontId="6" fillId="0" borderId="0" xfId="0" applyNumberFormat="1" applyFont="1"/>
    <xf numFmtId="10" fontId="8" fillId="0" borderId="0" xfId="0" applyNumberFormat="1" applyFont="1"/>
    <xf numFmtId="170" fontId="6" fillId="4" borderId="0" xfId="0" applyNumberFormat="1" applyFont="1" applyFill="1"/>
    <xf numFmtId="0" fontId="0" fillId="0" borderId="0" xfId="0" applyAlignment="1">
      <alignment wrapText="1"/>
    </xf>
    <xf numFmtId="0" fontId="3" fillId="0" borderId="0" xfId="0" applyFont="1" applyAlignment="1">
      <alignment wrapText="1"/>
    </xf>
    <xf numFmtId="170" fontId="8" fillId="0" borderId="1" xfId="0" applyNumberFormat="1" applyFont="1" applyBorder="1"/>
    <xf numFmtId="164" fontId="8" fillId="0" borderId="1" xfId="0" applyNumberFormat="1" applyFont="1" applyBorder="1"/>
    <xf numFmtId="170" fontId="12" fillId="4" borderId="0" xfId="0" applyNumberFormat="1" applyFont="1" applyFill="1"/>
    <xf numFmtId="10" fontId="10" fillId="0" borderId="0" xfId="0" applyNumberFormat="1" applyFont="1"/>
    <xf numFmtId="170" fontId="8" fillId="0" borderId="0" xfId="0" applyNumberFormat="1" applyFont="1"/>
    <xf numFmtId="0" fontId="11" fillId="0" borderId="0" xfId="0" applyFont="1" applyAlignment="1">
      <alignment horizontal="right"/>
    </xf>
    <xf numFmtId="0" fontId="11" fillId="2" borderId="0" xfId="0" applyFont="1" applyFill="1"/>
    <xf numFmtId="165" fontId="8" fillId="0" borderId="0" xfId="0" applyNumberFormat="1" applyFont="1"/>
    <xf numFmtId="0" fontId="8" fillId="0" borderId="0" xfId="0" applyFont="1"/>
    <xf numFmtId="0" fontId="4" fillId="0" borderId="0" xfId="0" applyFont="1" applyAlignment="1">
      <alignment horizontal="right"/>
    </xf>
    <xf numFmtId="0" fontId="4" fillId="0" borderId="0" xfId="0" applyFont="1"/>
    <xf numFmtId="165" fontId="6" fillId="0" borderId="0" xfId="0" applyNumberFormat="1" applyFont="1"/>
    <xf numFmtId="10" fontId="12" fillId="0" borderId="0" xfId="0" applyNumberFormat="1" applyFont="1"/>
    <xf numFmtId="0" fontId="6" fillId="0" borderId="0" xfId="0" applyFont="1"/>
    <xf numFmtId="9" fontId="6" fillId="0" borderId="0" xfId="1" applyFont="1"/>
    <xf numFmtId="9" fontId="8" fillId="0" borderId="0" xfId="1" applyFont="1"/>
    <xf numFmtId="0" fontId="5" fillId="0" borderId="0" xfId="0" applyFont="1" applyAlignment="1">
      <alignment horizontal="left" vertical="center" indent="1"/>
    </xf>
    <xf numFmtId="166" fontId="6" fillId="0" borderId="0" xfId="1" applyNumberFormat="1" applyFont="1"/>
    <xf numFmtId="166" fontId="8" fillId="0" borderId="0" xfId="1" applyNumberFormat="1" applyFont="1"/>
    <xf numFmtId="170" fontId="8" fillId="6" borderId="0" xfId="0" applyNumberFormat="1" applyFont="1" applyFill="1"/>
    <xf numFmtId="172" fontId="6" fillId="0" borderId="0" xfId="1" applyNumberFormat="1" applyFont="1"/>
    <xf numFmtId="172" fontId="8" fillId="0" borderId="0" xfId="1" applyNumberFormat="1" applyFont="1"/>
    <xf numFmtId="171" fontId="8" fillId="0" borderId="0" xfId="0" applyNumberFormat="1" applyFont="1"/>
    <xf numFmtId="0" fontId="0" fillId="0" borderId="0" xfId="0" applyFont="1"/>
    <xf numFmtId="0" fontId="0" fillId="0" borderId="0" xfId="0" applyFont="1" applyAlignment="1">
      <alignment horizontal="left" indent="2"/>
    </xf>
    <xf numFmtId="0" fontId="5" fillId="0" borderId="1" xfId="0" applyFont="1" applyBorder="1" applyAlignment="1">
      <alignment horizontal="left" indent="3"/>
    </xf>
    <xf numFmtId="0" fontId="5" fillId="0" borderId="1" xfId="0" applyFont="1" applyBorder="1"/>
    <xf numFmtId="0" fontId="5" fillId="0" borderId="1" xfId="0" applyFont="1" applyBorder="1" applyAlignment="1">
      <alignment horizontal="left" indent="1"/>
    </xf>
    <xf numFmtId="169" fontId="5" fillId="0" borderId="1" xfId="0" applyNumberFormat="1" applyFont="1" applyBorder="1"/>
    <xf numFmtId="10" fontId="10" fillId="0" borderId="0" xfId="0" applyNumberFormat="1" applyFont="1" applyBorder="1"/>
    <xf numFmtId="170" fontId="8" fillId="0" borderId="0" xfId="0" applyNumberFormat="1" applyFont="1" applyBorder="1"/>
    <xf numFmtId="0" fontId="0" fillId="0" borderId="0" xfId="0" applyBorder="1"/>
    <xf numFmtId="170" fontId="8" fillId="4" borderId="0" xfId="0" applyNumberFormat="1" applyFont="1" applyFill="1"/>
    <xf numFmtId="0" fontId="15" fillId="0" borderId="0" xfId="0" applyFont="1"/>
    <xf numFmtId="0" fontId="5" fillId="0" borderId="3" xfId="0" applyFont="1" applyBorder="1" applyAlignment="1">
      <alignment horizontal="left" indent="3"/>
    </xf>
    <xf numFmtId="0" fontId="15" fillId="2" borderId="0" xfId="0" applyFont="1" applyFill="1"/>
    <xf numFmtId="164" fontId="7" fillId="0" borderId="0" xfId="0" applyNumberFormat="1" applyFont="1" applyBorder="1"/>
    <xf numFmtId="0" fontId="6" fillId="0" borderId="0" xfId="0" applyFont="1" applyBorder="1"/>
    <xf numFmtId="10" fontId="6" fillId="0" borderId="0" xfId="0" applyNumberFormat="1" applyFont="1" applyBorder="1" applyAlignment="1">
      <alignment wrapText="1"/>
    </xf>
    <xf numFmtId="0" fontId="6" fillId="0" borderId="0" xfId="0" applyFont="1" applyBorder="1" applyAlignment="1">
      <alignment wrapText="1"/>
    </xf>
    <xf numFmtId="10" fontId="6" fillId="0" borderId="0" xfId="0" applyNumberFormat="1" applyFont="1" applyBorder="1"/>
    <xf numFmtId="180" fontId="6" fillId="0" borderId="0" xfId="0" applyNumberFormat="1" applyFont="1" applyBorder="1"/>
    <xf numFmtId="10" fontId="6" fillId="0" borderId="0" xfId="1" applyNumberFormat="1" applyFont="1" applyBorder="1"/>
    <xf numFmtId="10" fontId="11" fillId="0" borderId="0" xfId="0" applyNumberFormat="1" applyFont="1" applyBorder="1"/>
    <xf numFmtId="10" fontId="11" fillId="0" borderId="0" xfId="1" applyNumberFormat="1" applyFont="1" applyBorder="1"/>
    <xf numFmtId="180" fontId="11" fillId="0" borderId="0" xfId="0" applyNumberFormat="1" applyFont="1" applyBorder="1"/>
  </cellXfs>
  <cellStyles count="2">
    <cellStyle name="Normal" xfId="0" builtinId="0"/>
    <cellStyle name="Per cent" xfId="1" builtinId="5"/>
  </cellStyles>
  <dxfs count="4">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0000FF"/>
      <color rgb="FFFFFF99"/>
      <color rgb="FF006600"/>
      <color rgb="FF33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F639-DF5B-489C-92E9-FED13A178598}">
  <dimension ref="B2:C7"/>
  <sheetViews>
    <sheetView workbookViewId="0">
      <selection activeCell="C28" sqref="C28"/>
    </sheetView>
  </sheetViews>
  <sheetFormatPr defaultRowHeight="12.9" customHeight="1" x14ac:dyDescent="0.3"/>
  <cols>
    <col min="1" max="1" width="2.6640625" customWidth="1"/>
    <col min="2" max="2" width="15.6640625" bestFit="1" customWidth="1"/>
    <col min="3" max="3" width="36" bestFit="1" customWidth="1"/>
  </cols>
  <sheetData>
    <row r="2" spans="2:3" ht="12.9" customHeight="1" x14ac:dyDescent="0.45">
      <c r="B2" s="15" t="s">
        <v>18</v>
      </c>
      <c r="C2" s="15"/>
    </row>
    <row r="3" spans="2:3" ht="12.9" customHeight="1" x14ac:dyDescent="0.45">
      <c r="B3" s="15" t="s">
        <v>19</v>
      </c>
      <c r="C3" s="15" t="s">
        <v>20</v>
      </c>
    </row>
    <row r="4" spans="2:3" ht="12.9" customHeight="1" x14ac:dyDescent="0.3">
      <c r="B4" s="11">
        <v>1000</v>
      </c>
      <c r="C4" t="s">
        <v>21</v>
      </c>
    </row>
    <row r="5" spans="2:3" ht="12.9" customHeight="1" x14ac:dyDescent="0.3">
      <c r="B5" s="14">
        <v>1000</v>
      </c>
      <c r="C5" t="s">
        <v>22</v>
      </c>
    </row>
    <row r="6" spans="2:3" ht="12.9" customHeight="1" x14ac:dyDescent="0.3">
      <c r="B6" s="17"/>
      <c r="C6" t="s">
        <v>24</v>
      </c>
    </row>
    <row r="7" spans="2:3" ht="12.9" customHeight="1" x14ac:dyDescent="0.3">
      <c r="B7" s="19">
        <v>1000</v>
      </c>
      <c r="C7" t="s">
        <v>114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5F6E-0262-4ED1-8632-3E1E63DBD1E4}">
  <dimension ref="A1:O82"/>
  <sheetViews>
    <sheetView topLeftCell="A20" zoomScale="96" zoomScaleNormal="96" workbookViewId="0">
      <pane xSplit="1" topLeftCell="H1" activePane="topRight" state="frozen"/>
      <selection pane="topRight" activeCell="A10" sqref="A10"/>
    </sheetView>
  </sheetViews>
  <sheetFormatPr defaultRowHeight="13.8" x14ac:dyDescent="0.3"/>
  <cols>
    <col min="1" max="1" width="49.109375" bestFit="1" customWidth="1"/>
    <col min="2" max="2" width="27.109375" hidden="1" customWidth="1"/>
    <col min="3" max="3" width="11.44140625" customWidth="1"/>
    <col min="4" max="4" width="87.21875" bestFit="1" customWidth="1"/>
    <col min="6" max="6" width="15.5546875" customWidth="1"/>
    <col min="7" max="10" width="12.44140625" style="49" customWidth="1"/>
    <col min="11" max="15" width="12.44140625" style="44" customWidth="1"/>
  </cols>
  <sheetData>
    <row r="1" spans="1:15" x14ac:dyDescent="0.3">
      <c r="A1" s="3" t="s">
        <v>122</v>
      </c>
    </row>
    <row r="2" spans="1:15" x14ac:dyDescent="0.3">
      <c r="A2" s="3"/>
      <c r="B2" s="13" t="e">
        <f>'Control Panel'!#REF!</f>
        <v>#REF!</v>
      </c>
      <c r="C2" s="1"/>
      <c r="D2" s="1"/>
      <c r="F2" s="2" t="s">
        <v>0</v>
      </c>
      <c r="G2" s="45" t="s">
        <v>1</v>
      </c>
      <c r="H2" s="45" t="s">
        <v>1</v>
      </c>
      <c r="I2" s="45" t="s">
        <v>1</v>
      </c>
      <c r="J2" s="45" t="s">
        <v>1</v>
      </c>
      <c r="K2" s="41" t="s">
        <v>25</v>
      </c>
      <c r="L2" s="41" t="s">
        <v>25</v>
      </c>
      <c r="M2" s="41" t="s">
        <v>25</v>
      </c>
      <c r="N2" s="41" t="s">
        <v>25</v>
      </c>
      <c r="O2" s="41" t="s">
        <v>25</v>
      </c>
    </row>
    <row r="3" spans="1:15" x14ac:dyDescent="0.3">
      <c r="A3" s="3" t="s">
        <v>3</v>
      </c>
      <c r="B3" s="3" t="s">
        <v>4</v>
      </c>
      <c r="C3" s="3"/>
      <c r="D3" s="3" t="s">
        <v>5</v>
      </c>
      <c r="F3" s="2" t="s">
        <v>2</v>
      </c>
      <c r="G3" s="46">
        <v>2022</v>
      </c>
      <c r="H3" s="46">
        <v>2023</v>
      </c>
      <c r="I3" s="46">
        <v>2024</v>
      </c>
      <c r="J3" s="46">
        <v>2025</v>
      </c>
      <c r="K3" s="20">
        <v>2026</v>
      </c>
      <c r="L3" s="20">
        <v>2027</v>
      </c>
      <c r="M3" s="20">
        <v>2028</v>
      </c>
      <c r="N3" s="20">
        <v>2029</v>
      </c>
      <c r="O3" s="20">
        <v>2030</v>
      </c>
    </row>
    <row r="4" spans="1:15" x14ac:dyDescent="0.3">
      <c r="A4" s="4" t="s">
        <v>6</v>
      </c>
      <c r="B4" s="4"/>
      <c r="C4" s="4"/>
      <c r="D4" s="4"/>
      <c r="E4" s="4"/>
      <c r="F4" s="4"/>
      <c r="G4" s="5"/>
      <c r="H4" s="5"/>
      <c r="I4" s="5"/>
      <c r="J4" s="5"/>
      <c r="K4" s="42"/>
      <c r="L4" s="42"/>
      <c r="M4" s="42"/>
      <c r="N4" s="42"/>
      <c r="O4" s="42"/>
    </row>
    <row r="5" spans="1:15" x14ac:dyDescent="0.3">
      <c r="A5" s="1" t="s">
        <v>7</v>
      </c>
      <c r="B5" s="1"/>
      <c r="C5" s="1"/>
      <c r="D5" s="9"/>
      <c r="F5" s="1"/>
      <c r="G5" s="47"/>
      <c r="H5" s="47"/>
      <c r="I5" s="47"/>
      <c r="J5" s="47"/>
      <c r="K5" s="43"/>
      <c r="L5" s="43"/>
      <c r="M5" s="43"/>
      <c r="N5" s="43"/>
      <c r="O5" s="43"/>
    </row>
    <row r="6" spans="1:15" x14ac:dyDescent="0.3">
      <c r="A6" s="21" t="s">
        <v>26</v>
      </c>
      <c r="B6" s="9" t="s">
        <v>56</v>
      </c>
      <c r="C6" s="6"/>
      <c r="D6" s="9"/>
      <c r="F6" s="24"/>
      <c r="G6" s="27">
        <v>162.44999999999999</v>
      </c>
      <c r="H6" s="27">
        <v>175.03299999999999</v>
      </c>
      <c r="I6" s="27">
        <v>198.084</v>
      </c>
      <c r="J6" s="27">
        <v>224.53200000000001</v>
      </c>
      <c r="K6" s="40">
        <f>J6*(1+K7)</f>
        <v>254.61928799999998</v>
      </c>
      <c r="L6" s="40">
        <f t="shared" ref="L6:N6" si="0">K6*(1+L7)</f>
        <v>287.71979543999993</v>
      </c>
      <c r="M6" s="40">
        <f t="shared" si="0"/>
        <v>321.38301150647993</v>
      </c>
      <c r="N6" s="40">
        <f t="shared" si="0"/>
        <v>353.84269566863441</v>
      </c>
      <c r="O6" s="40">
        <f>N6*(1+O7)</f>
        <v>384.6270101918056</v>
      </c>
    </row>
    <row r="7" spans="1:15" s="9" customFormat="1" x14ac:dyDescent="0.3">
      <c r="A7" s="30"/>
      <c r="C7" s="8"/>
      <c r="D7" s="9" t="s">
        <v>63</v>
      </c>
      <c r="F7" s="26"/>
      <c r="G7" s="38"/>
      <c r="H7" s="48">
        <f>(H6-G6)/G6</f>
        <v>7.7457679285934125E-2</v>
      </c>
      <c r="I7" s="48">
        <f t="shared" ref="I7:J7" si="1">(I6-H6)/H6</f>
        <v>0.13169516605440126</v>
      </c>
      <c r="J7" s="48">
        <f t="shared" si="1"/>
        <v>0.13351911310353187</v>
      </c>
      <c r="K7" s="39">
        <v>0.13400000000000001</v>
      </c>
      <c r="L7" s="39">
        <v>0.13</v>
      </c>
      <c r="M7" s="39">
        <v>0.11700000000000001</v>
      </c>
      <c r="N7" s="39">
        <v>0.10100000000000001</v>
      </c>
      <c r="O7" s="39">
        <v>8.6999999999999994E-2</v>
      </c>
    </row>
    <row r="8" spans="1:15" x14ac:dyDescent="0.3">
      <c r="A8" s="21" t="s">
        <v>27</v>
      </c>
      <c r="B8" s="9" t="s">
        <v>57</v>
      </c>
      <c r="C8" s="6"/>
      <c r="D8" s="9"/>
      <c r="F8" s="24"/>
      <c r="G8" s="27">
        <v>29.242999999999999</v>
      </c>
      <c r="H8" s="27">
        <v>31.51</v>
      </c>
      <c r="I8" s="27">
        <v>36.146999999999998</v>
      </c>
      <c r="J8" s="27">
        <v>40.366999999999997</v>
      </c>
      <c r="K8" s="14">
        <v>44</v>
      </c>
      <c r="L8" s="14">
        <v>48</v>
      </c>
      <c r="M8" s="14">
        <v>52</v>
      </c>
      <c r="N8" s="14">
        <v>56</v>
      </c>
      <c r="O8" s="14">
        <v>60</v>
      </c>
    </row>
    <row r="9" spans="1:15" s="9" customFormat="1" x14ac:dyDescent="0.3">
      <c r="A9" s="30"/>
      <c r="C9" s="8"/>
      <c r="D9" s="9" t="s">
        <v>63</v>
      </c>
      <c r="F9" s="26"/>
      <c r="G9" s="38"/>
      <c r="H9" s="48">
        <f>(H8-G8)/G8</f>
        <v>7.7522825975447227E-2</v>
      </c>
      <c r="I9" s="48">
        <f t="shared" ref="I9:J9" si="2">(I8-H8)/H8</f>
        <v>0.14715963186290057</v>
      </c>
      <c r="J9" s="48">
        <f t="shared" si="2"/>
        <v>0.11674551138407058</v>
      </c>
      <c r="K9" s="39">
        <f t="shared" ref="K9" si="3">(K8-J8)/J8</f>
        <v>8.9999256818688603E-2</v>
      </c>
      <c r="L9" s="39">
        <f t="shared" ref="L9" si="4">(L8-K8)/K8</f>
        <v>9.0909090909090912E-2</v>
      </c>
      <c r="M9" s="39">
        <f t="shared" ref="M9" si="5">(M8-L8)/L8</f>
        <v>8.3333333333333329E-2</v>
      </c>
      <c r="N9" s="39">
        <f t="shared" ref="N9" si="6">(N8-M8)/M8</f>
        <v>7.6923076923076927E-2</v>
      </c>
      <c r="O9" s="39">
        <f t="shared" ref="O9" si="7">(O8-N8)/N8</f>
        <v>7.1428571428571425E-2</v>
      </c>
    </row>
    <row r="10" spans="1:15" x14ac:dyDescent="0.3">
      <c r="A10" s="21" t="s">
        <v>28</v>
      </c>
      <c r="B10" s="9" t="s">
        <v>58</v>
      </c>
      <c r="C10" s="6"/>
      <c r="D10" s="9"/>
      <c r="F10" s="24"/>
      <c r="G10" s="27">
        <v>32.78</v>
      </c>
      <c r="H10" s="27">
        <v>31.312000000000001</v>
      </c>
      <c r="I10" s="27">
        <v>30.359000000000002</v>
      </c>
      <c r="J10" s="27">
        <v>29.792000000000002</v>
      </c>
      <c r="K10" s="40">
        <f>J10*(1+K11)</f>
        <v>29.49408</v>
      </c>
      <c r="L10" s="40">
        <f t="shared" ref="L10:O10" si="8">K10*(1+L11)</f>
        <v>29.346609600000001</v>
      </c>
      <c r="M10" s="40">
        <f t="shared" si="8"/>
        <v>29.258569771200001</v>
      </c>
      <c r="N10" s="40">
        <f t="shared" si="8"/>
        <v>29.258569771200001</v>
      </c>
      <c r="O10" s="40">
        <f t="shared" si="8"/>
        <v>29.258569771200001</v>
      </c>
    </row>
    <row r="11" spans="1:15" s="9" customFormat="1" x14ac:dyDescent="0.3">
      <c r="A11" s="30"/>
      <c r="C11" s="8"/>
      <c r="D11" s="9" t="s">
        <v>63</v>
      </c>
      <c r="F11" s="26"/>
      <c r="G11" s="38"/>
      <c r="H11" s="48">
        <f>(H10-G10)/G10</f>
        <v>-4.4783404514948139E-2</v>
      </c>
      <c r="I11" s="48">
        <f t="shared" ref="I11:J11" si="9">(I10-H10)/H10</f>
        <v>-3.0435615738375044E-2</v>
      </c>
      <c r="J11" s="48">
        <f t="shared" si="9"/>
        <v>-1.8676504496195533E-2</v>
      </c>
      <c r="K11" s="39">
        <v>-0.01</v>
      </c>
      <c r="L11" s="39">
        <v>-5.0000000000000001E-3</v>
      </c>
      <c r="M11" s="39">
        <v>-3.0000000000000001E-3</v>
      </c>
      <c r="N11" s="39">
        <v>0</v>
      </c>
      <c r="O11" s="39">
        <v>0</v>
      </c>
    </row>
    <row r="12" spans="1:15" x14ac:dyDescent="0.3">
      <c r="A12" s="21" t="s">
        <v>32</v>
      </c>
      <c r="B12" t="s">
        <v>59</v>
      </c>
      <c r="C12" s="6"/>
      <c r="D12" s="9"/>
      <c r="F12" s="24"/>
      <c r="G12" s="27">
        <v>29.055</v>
      </c>
      <c r="H12" s="27">
        <v>34.688000000000002</v>
      </c>
      <c r="I12" s="27">
        <v>40.340000000000003</v>
      </c>
      <c r="J12" s="27">
        <v>48.03</v>
      </c>
      <c r="K12" s="40">
        <f>J12*(1+K13)</f>
        <v>57.155699999999996</v>
      </c>
      <c r="L12" s="40">
        <f t="shared" ref="L12:O12" si="10">K12*(1+L13)</f>
        <v>67.443725999999998</v>
      </c>
      <c r="M12" s="40">
        <f t="shared" si="10"/>
        <v>78.909159419999995</v>
      </c>
      <c r="N12" s="40">
        <f t="shared" si="10"/>
        <v>91.534624927199985</v>
      </c>
      <c r="O12" s="40">
        <f t="shared" si="10"/>
        <v>105.26481866627998</v>
      </c>
    </row>
    <row r="13" spans="1:15" s="9" customFormat="1" x14ac:dyDescent="0.3">
      <c r="A13" s="30"/>
      <c r="C13" s="8"/>
      <c r="D13" s="9" t="s">
        <v>63</v>
      </c>
      <c r="F13" s="26"/>
      <c r="G13" s="38"/>
      <c r="H13" s="48">
        <f>(H12-G12)/G12</f>
        <v>0.19387368783341946</v>
      </c>
      <c r="I13" s="48">
        <f t="shared" ref="I13:J13" si="11">(I12-H12)/H12</f>
        <v>0.16293819188191883</v>
      </c>
      <c r="J13" s="48">
        <f t="shared" si="11"/>
        <v>0.19062964799206736</v>
      </c>
      <c r="K13" s="39">
        <v>0.19</v>
      </c>
      <c r="L13" s="39">
        <v>0.18</v>
      </c>
      <c r="M13" s="39">
        <v>0.17</v>
      </c>
      <c r="N13" s="39">
        <v>0.16</v>
      </c>
      <c r="O13" s="39">
        <v>0.15</v>
      </c>
    </row>
    <row r="14" spans="1:15" x14ac:dyDescent="0.3">
      <c r="A14" s="16" t="s">
        <v>33</v>
      </c>
      <c r="B14" s="1"/>
      <c r="C14" s="1"/>
      <c r="D14" s="9"/>
      <c r="F14" s="24"/>
      <c r="G14" s="28">
        <f>G6+G8+G10+G12</f>
        <v>253.52799999999999</v>
      </c>
      <c r="H14" s="28">
        <f t="shared" ref="H14:J14" si="12">H6+H8+H10+H12</f>
        <v>272.54300000000001</v>
      </c>
      <c r="I14" s="28">
        <f t="shared" si="12"/>
        <v>304.92999999999995</v>
      </c>
      <c r="J14" s="28">
        <f t="shared" si="12"/>
        <v>342.721</v>
      </c>
      <c r="K14" s="36">
        <f t="shared" ref="K14:O14" si="13">K6+K8+K10+K12</f>
        <v>385.26906799999995</v>
      </c>
      <c r="L14" s="36">
        <f t="shared" si="13"/>
        <v>432.51013103999992</v>
      </c>
      <c r="M14" s="36">
        <f t="shared" si="13"/>
        <v>481.55074069767994</v>
      </c>
      <c r="N14" s="36">
        <f t="shared" si="13"/>
        <v>530.63589036703434</v>
      </c>
      <c r="O14" s="36">
        <f t="shared" si="13"/>
        <v>579.15039862928563</v>
      </c>
    </row>
    <row r="15" spans="1:15" x14ac:dyDescent="0.3">
      <c r="A15" s="16"/>
      <c r="B15" s="1"/>
      <c r="C15" s="1"/>
      <c r="D15" s="9"/>
      <c r="F15" s="24"/>
      <c r="G15" s="33"/>
      <c r="H15" s="31">
        <f>(H14-G14)/G14</f>
        <v>7.5001577735003683E-2</v>
      </c>
      <c r="I15" s="31">
        <f t="shared" ref="I15:J15" si="14">(I14-H14)/H14</f>
        <v>0.1188326245766721</v>
      </c>
      <c r="J15" s="31">
        <f t="shared" si="14"/>
        <v>0.12393336175515712</v>
      </c>
      <c r="K15" s="32">
        <f t="shared" ref="K15" si="15">(K14-J14)/J14</f>
        <v>0.12414782870031292</v>
      </c>
      <c r="L15" s="32">
        <f t="shared" ref="L15" si="16">(L14-K14)/K14</f>
        <v>0.1226183645763121</v>
      </c>
      <c r="M15" s="32">
        <f t="shared" ref="M15" si="17">(M14-L14)/L14</f>
        <v>0.1133860368536537</v>
      </c>
      <c r="N15" s="32">
        <f t="shared" ref="N15" si="18">(N14-M14)/M14</f>
        <v>0.10193141764923648</v>
      </c>
      <c r="O15" s="32">
        <f t="shared" ref="O15" si="19">(O14-N14)/N14</f>
        <v>9.142711441680737E-2</v>
      </c>
    </row>
    <row r="16" spans="1:15" x14ac:dyDescent="0.3">
      <c r="A16" s="16" t="s">
        <v>29</v>
      </c>
      <c r="B16" t="s">
        <v>60</v>
      </c>
      <c r="C16" s="6"/>
      <c r="D16" s="9"/>
      <c r="F16" s="24"/>
      <c r="G16" s="27">
        <v>26.28</v>
      </c>
      <c r="H16" s="27">
        <v>33.088000000000001</v>
      </c>
      <c r="I16" s="27">
        <v>43.228999999999999</v>
      </c>
      <c r="J16" s="27">
        <v>58.704999999999998</v>
      </c>
      <c r="K16" s="40">
        <f>J16*(1+K17)</f>
        <v>81.012899999999988</v>
      </c>
      <c r="L16" s="40">
        <f t="shared" ref="L16:O16" si="20">K16*(1+L17)</f>
        <v>112.60793099999999</v>
      </c>
      <c r="M16" s="40">
        <f t="shared" si="20"/>
        <v>156.52502409000002</v>
      </c>
      <c r="N16" s="40">
        <f t="shared" si="20"/>
        <v>212.87403276239999</v>
      </c>
      <c r="O16" s="40">
        <f t="shared" si="20"/>
        <v>287.37994422923998</v>
      </c>
    </row>
    <row r="17" spans="1:15" s="9" customFormat="1" x14ac:dyDescent="0.3">
      <c r="A17" s="30"/>
      <c r="C17" s="8"/>
      <c r="D17" s="9" t="s">
        <v>63</v>
      </c>
      <c r="F17" s="26"/>
      <c r="G17" s="38"/>
      <c r="H17" s="48">
        <f>(H16-G16)/G16</f>
        <v>0.25905631659056316</v>
      </c>
      <c r="I17" s="48">
        <f t="shared" ref="I17:J17" si="21">(I16-H16)/H16</f>
        <v>0.30648573500967113</v>
      </c>
      <c r="J17" s="48">
        <f t="shared" si="21"/>
        <v>0.35800041638714752</v>
      </c>
      <c r="K17" s="39">
        <v>0.38</v>
      </c>
      <c r="L17" s="39">
        <v>0.39</v>
      </c>
      <c r="M17" s="39">
        <v>0.39</v>
      </c>
      <c r="N17" s="39">
        <v>0.36</v>
      </c>
      <c r="O17" s="39">
        <v>0.35</v>
      </c>
    </row>
    <row r="18" spans="1:15" x14ac:dyDescent="0.3">
      <c r="A18" s="16" t="s">
        <v>31</v>
      </c>
      <c r="B18" s="9"/>
      <c r="C18" s="6"/>
      <c r="D18" s="9"/>
      <c r="F18" s="24"/>
      <c r="G18" s="27">
        <v>1.96</v>
      </c>
      <c r="H18" s="27">
        <v>0.23599999999999999</v>
      </c>
      <c r="I18" s="27">
        <v>0.21099999999999999</v>
      </c>
      <c r="J18" s="27">
        <v>-0.127</v>
      </c>
      <c r="K18" s="14">
        <v>0</v>
      </c>
      <c r="L18" s="14">
        <v>0</v>
      </c>
      <c r="M18" s="14">
        <v>0</v>
      </c>
      <c r="N18" s="14">
        <v>0</v>
      </c>
      <c r="O18" s="14">
        <v>0</v>
      </c>
    </row>
    <row r="19" spans="1:15" x14ac:dyDescent="0.3">
      <c r="A19" s="16" t="s">
        <v>30</v>
      </c>
      <c r="B19" s="9"/>
      <c r="C19" s="6"/>
      <c r="D19" s="9"/>
      <c r="F19" s="24"/>
      <c r="G19" s="27">
        <v>1.0680000000000001</v>
      </c>
      <c r="H19" s="27">
        <v>1.5269999999999999</v>
      </c>
      <c r="I19" s="27">
        <v>1.6479999999999999</v>
      </c>
      <c r="J19" s="27">
        <v>1.5369999999999999</v>
      </c>
      <c r="K19" s="40">
        <v>1.5</v>
      </c>
      <c r="L19" s="40">
        <v>1.5</v>
      </c>
      <c r="M19" s="40">
        <v>1.5</v>
      </c>
      <c r="N19" s="40">
        <v>1.5</v>
      </c>
      <c r="O19" s="40">
        <v>1.5</v>
      </c>
    </row>
    <row r="20" spans="1:15" x14ac:dyDescent="0.3">
      <c r="A20" s="22" t="s">
        <v>8</v>
      </c>
      <c r="B20" s="1"/>
      <c r="C20" s="6"/>
      <c r="D20" s="9"/>
      <c r="F20" s="24"/>
      <c r="G20" s="28">
        <f>G14+G16+G18+G19</f>
        <v>282.83599999999996</v>
      </c>
      <c r="H20" s="28">
        <f>H14+H16+H18+H19</f>
        <v>307.39400000000001</v>
      </c>
      <c r="I20" s="28">
        <f>I14+I16+I18+I19</f>
        <v>350.01799999999997</v>
      </c>
      <c r="J20" s="28">
        <f>J14+J16+J18+J19</f>
        <v>402.83599999999996</v>
      </c>
      <c r="K20" s="36">
        <f t="shared" ref="K20:O20" si="22">K14+K16+K18+K19</f>
        <v>467.78196799999995</v>
      </c>
      <c r="L20" s="36">
        <f t="shared" si="22"/>
        <v>546.61806203999993</v>
      </c>
      <c r="M20" s="36">
        <f t="shared" si="22"/>
        <v>639.57576478767999</v>
      </c>
      <c r="N20" s="36">
        <f t="shared" si="22"/>
        <v>745.00992312943436</v>
      </c>
      <c r="O20" s="36">
        <f t="shared" si="22"/>
        <v>868.03034285852561</v>
      </c>
    </row>
    <row r="21" spans="1:15" x14ac:dyDescent="0.3">
      <c r="D21" s="9"/>
      <c r="G21" s="33"/>
      <c r="H21" s="31">
        <f>(H20-G20)/G20</f>
        <v>8.6827702272695317E-2</v>
      </c>
      <c r="I21" s="31">
        <f t="shared" ref="I21:J21" si="23">(I20-H20)/H20</f>
        <v>0.13866243322901542</v>
      </c>
      <c r="J21" s="31">
        <f t="shared" si="23"/>
        <v>0.15090081081544374</v>
      </c>
      <c r="K21" s="32">
        <f t="shared" ref="K21" si="24">(K20-J20)/J20</f>
        <v>0.16122185703363157</v>
      </c>
      <c r="L21" s="32">
        <f t="shared" ref="L21" si="25">(L20-K20)/K20</f>
        <v>0.16853170800290443</v>
      </c>
      <c r="M21" s="32">
        <f t="shared" ref="M21" si="26">(M20-L20)/L20</f>
        <v>0.17005969835822529</v>
      </c>
      <c r="N21" s="32">
        <f t="shared" ref="N21" si="27">(N20-M20)/M20</f>
        <v>0.16485014621646171</v>
      </c>
      <c r="O21" s="32">
        <f t="shared" ref="O21" si="28">(O20-N20)/N20</f>
        <v>0.16512588075651483</v>
      </c>
    </row>
    <row r="22" spans="1:15" x14ac:dyDescent="0.3">
      <c r="A22" t="s">
        <v>34</v>
      </c>
      <c r="B22" t="s">
        <v>61</v>
      </c>
      <c r="C22" s="1"/>
      <c r="D22" s="9"/>
      <c r="F22" s="24"/>
      <c r="G22" s="27">
        <v>126.203</v>
      </c>
      <c r="H22" s="27">
        <v>133.33199999999999</v>
      </c>
      <c r="I22" s="27">
        <v>146.30600000000001</v>
      </c>
      <c r="J22" s="27">
        <v>162.535</v>
      </c>
      <c r="K22" s="14">
        <f>K23*K20</f>
        <v>182.43496751999999</v>
      </c>
      <c r="L22" s="14">
        <f t="shared" ref="L22:O22" si="29">L23*L20</f>
        <v>213.18104419559998</v>
      </c>
      <c r="M22" s="14">
        <f t="shared" si="29"/>
        <v>252.63242709113359</v>
      </c>
      <c r="N22" s="14">
        <f t="shared" si="29"/>
        <v>298.00396925177375</v>
      </c>
      <c r="O22" s="14">
        <f t="shared" si="29"/>
        <v>351.55228885770288</v>
      </c>
    </row>
    <row r="23" spans="1:15" x14ac:dyDescent="0.3">
      <c r="A23" s="9"/>
      <c r="B23" s="1"/>
      <c r="C23" s="1"/>
      <c r="D23" s="9" t="str">
        <f>A22 &amp; "/Revenue"</f>
        <v>Cost of revenues/Revenue</v>
      </c>
      <c r="F23" s="24"/>
      <c r="G23" s="48">
        <f>G22/G20</f>
        <v>0.44620557496216895</v>
      </c>
      <c r="H23" s="48">
        <f t="shared" ref="H23:J23" si="30">H22/H20</f>
        <v>0.4337495201597949</v>
      </c>
      <c r="I23" s="48">
        <f t="shared" si="30"/>
        <v>0.41799564593820898</v>
      </c>
      <c r="J23" s="48">
        <f t="shared" si="30"/>
        <v>0.40347684913960025</v>
      </c>
      <c r="K23" s="39">
        <v>0.39</v>
      </c>
      <c r="L23" s="39">
        <v>0.39</v>
      </c>
      <c r="M23" s="39">
        <v>0.39500000000000002</v>
      </c>
      <c r="N23" s="39">
        <v>0.4</v>
      </c>
      <c r="O23" s="39">
        <v>0.40500000000000003</v>
      </c>
    </row>
    <row r="24" spans="1:15" x14ac:dyDescent="0.3">
      <c r="A24" s="7" t="s">
        <v>9</v>
      </c>
      <c r="B24" s="7"/>
      <c r="C24" s="7"/>
      <c r="D24" s="62"/>
      <c r="E24" s="7"/>
      <c r="F24" s="25"/>
      <c r="G24" s="28">
        <f>G20-G22</f>
        <v>156.63299999999995</v>
      </c>
      <c r="H24" s="28">
        <f t="shared" ref="H24:J24" si="31">H20-H22</f>
        <v>174.06200000000001</v>
      </c>
      <c r="I24" s="28">
        <f t="shared" si="31"/>
        <v>203.71199999999996</v>
      </c>
      <c r="J24" s="28">
        <f t="shared" si="31"/>
        <v>240.30099999999996</v>
      </c>
      <c r="K24" s="37">
        <f>K20-K22</f>
        <v>285.34700047999996</v>
      </c>
      <c r="L24" s="37">
        <f t="shared" ref="L24:O24" si="32">L20-L22</f>
        <v>333.43701784439997</v>
      </c>
      <c r="M24" s="37">
        <f t="shared" si="32"/>
        <v>386.94333769654639</v>
      </c>
      <c r="N24" s="37">
        <f t="shared" si="32"/>
        <v>447.0059538776606</v>
      </c>
      <c r="O24" s="37">
        <f t="shared" si="32"/>
        <v>516.47805400082279</v>
      </c>
    </row>
    <row r="25" spans="1:15" x14ac:dyDescent="0.3">
      <c r="D25" s="9"/>
      <c r="G25" s="27"/>
      <c r="H25" s="27"/>
      <c r="I25" s="27"/>
      <c r="J25" s="27"/>
      <c r="K25" s="14"/>
      <c r="L25" s="14"/>
      <c r="M25" s="14"/>
      <c r="N25" s="14"/>
      <c r="O25" s="14"/>
    </row>
    <row r="26" spans="1:15" x14ac:dyDescent="0.3">
      <c r="A26" s="16" t="s">
        <v>35</v>
      </c>
      <c r="B26" s="18"/>
      <c r="C26" s="6"/>
      <c r="D26" s="9"/>
      <c r="F26" s="24"/>
      <c r="G26" s="27">
        <v>39.5</v>
      </c>
      <c r="H26" s="27">
        <v>45.427</v>
      </c>
      <c r="I26" s="27">
        <v>49.326000000000001</v>
      </c>
      <c r="J26" s="27">
        <v>61.087000000000003</v>
      </c>
      <c r="K26" s="14">
        <f>K27*K20</f>
        <v>71.570641103999989</v>
      </c>
      <c r="L26" s="14">
        <f t="shared" ref="L26:O26" si="33">L27*L20</f>
        <v>84.179181554159982</v>
      </c>
      <c r="M26" s="14">
        <f t="shared" si="33"/>
        <v>99.134243542090402</v>
      </c>
      <c r="N26" s="14">
        <f t="shared" si="33"/>
        <v>115.47653808506233</v>
      </c>
      <c r="O26" s="14">
        <f t="shared" si="33"/>
        <v>134.54470314307147</v>
      </c>
    </row>
    <row r="27" spans="1:15" s="48" customFormat="1" x14ac:dyDescent="0.3">
      <c r="D27" s="9" t="str">
        <f>A26 &amp; "/Revenue"</f>
        <v>R&amp;D/Revenue</v>
      </c>
      <c r="G27" s="48">
        <f>G26/G20</f>
        <v>0.13965690364734337</v>
      </c>
      <c r="H27" s="48">
        <f t="shared" ref="H27:J27" si="34">H26/H20</f>
        <v>0.14778102370247956</v>
      </c>
      <c r="I27" s="48">
        <f t="shared" si="34"/>
        <v>0.14092418104211785</v>
      </c>
      <c r="J27" s="48">
        <f t="shared" si="34"/>
        <v>0.1516423556981005</v>
      </c>
      <c r="K27" s="39">
        <v>0.153</v>
      </c>
      <c r="L27" s="39">
        <v>0.154</v>
      </c>
      <c r="M27" s="39">
        <v>0.155</v>
      </c>
      <c r="N27" s="39">
        <v>0.155</v>
      </c>
      <c r="O27" s="39">
        <v>0.155</v>
      </c>
    </row>
    <row r="28" spans="1:15" x14ac:dyDescent="0.3">
      <c r="A28" s="16" t="s">
        <v>36</v>
      </c>
      <c r="B28" s="18"/>
      <c r="C28" s="6"/>
      <c r="D28" s="9"/>
      <c r="F28" s="24"/>
      <c r="G28" s="27">
        <v>26.567</v>
      </c>
      <c r="H28" s="27">
        <v>27.917000000000002</v>
      </c>
      <c r="I28" s="27">
        <v>27.808</v>
      </c>
      <c r="J28" s="27">
        <v>28.693000000000001</v>
      </c>
      <c r="K28" s="14">
        <f>K29*K20</f>
        <v>31.809173823999998</v>
      </c>
      <c r="L28" s="14">
        <f t="shared" ref="L28:O28" si="35">L29*L20</f>
        <v>35.530174032599994</v>
      </c>
      <c r="M28" s="14">
        <f t="shared" si="35"/>
        <v>40.293273181623839</v>
      </c>
      <c r="N28" s="14">
        <f t="shared" si="35"/>
        <v>45.445605310895495</v>
      </c>
      <c r="O28" s="14">
        <f t="shared" si="35"/>
        <v>52.081820571511535</v>
      </c>
    </row>
    <row r="29" spans="1:15" s="48" customFormat="1" x14ac:dyDescent="0.3">
      <c r="D29" s="9" t="str">
        <f>A28 &amp; "/Revenue"</f>
        <v>Sales &amp; marketing/Revenue</v>
      </c>
      <c r="G29" s="48">
        <f>G28/G20</f>
        <v>9.3930758460733441E-2</v>
      </c>
      <c r="H29" s="48">
        <f t="shared" ref="H29:J29" si="36">H28/H20</f>
        <v>9.0818298340240869E-2</v>
      </c>
      <c r="I29" s="48">
        <f t="shared" si="36"/>
        <v>7.94473427080893E-2</v>
      </c>
      <c r="J29" s="48">
        <f t="shared" si="36"/>
        <v>7.1227497045944263E-2</v>
      </c>
      <c r="K29" s="39">
        <v>6.8000000000000005E-2</v>
      </c>
      <c r="L29" s="39">
        <v>6.5000000000000002E-2</v>
      </c>
      <c r="M29" s="39">
        <v>6.3E-2</v>
      </c>
      <c r="N29" s="39">
        <v>6.0999999999999999E-2</v>
      </c>
      <c r="O29" s="39">
        <v>0.06</v>
      </c>
    </row>
    <row r="30" spans="1:15" x14ac:dyDescent="0.3">
      <c r="A30" s="16" t="s">
        <v>37</v>
      </c>
      <c r="B30" s="18"/>
      <c r="C30" s="6"/>
      <c r="D30" s="9"/>
      <c r="F30" s="24"/>
      <c r="G30" s="27">
        <v>15.724</v>
      </c>
      <c r="H30" s="27">
        <v>16.425000000000001</v>
      </c>
      <c r="I30" s="27">
        <v>14.188000000000001</v>
      </c>
      <c r="J30" s="27">
        <v>21.481999999999999</v>
      </c>
      <c r="K30" s="14">
        <f>K31*K20</f>
        <v>22.219643479999998</v>
      </c>
      <c r="L30" s="14">
        <f t="shared" ref="L30:O30" si="37">L31*L20</f>
        <v>25.964357946899998</v>
      </c>
      <c r="M30" s="14">
        <f t="shared" si="37"/>
        <v>30.379848827414801</v>
      </c>
      <c r="N30" s="14">
        <f t="shared" si="37"/>
        <v>35.387971348648129</v>
      </c>
      <c r="O30" s="14">
        <f t="shared" si="37"/>
        <v>41.231441285779965</v>
      </c>
    </row>
    <row r="31" spans="1:15" s="48" customFormat="1" x14ac:dyDescent="0.3">
      <c r="D31" s="9" t="str">
        <f>A30 &amp; "/Revenue"</f>
        <v>General &amp; administrative/Revenue</v>
      </c>
      <c r="G31" s="48">
        <f>G30/G20</f>
        <v>5.5594054505084228E-2</v>
      </c>
      <c r="H31" s="48">
        <f t="shared" ref="H31:J31" si="38">H30/H20</f>
        <v>5.3433053345218189E-2</v>
      </c>
      <c r="I31" s="48">
        <f t="shared" si="38"/>
        <v>4.0535058197007014E-2</v>
      </c>
      <c r="J31" s="48">
        <f t="shared" si="38"/>
        <v>5.3326912192554789E-2</v>
      </c>
      <c r="K31" s="39">
        <v>4.7500000000000001E-2</v>
      </c>
      <c r="L31" s="39">
        <v>4.7500000000000001E-2</v>
      </c>
      <c r="M31" s="39">
        <v>4.7500000000000001E-2</v>
      </c>
      <c r="N31" s="39">
        <v>4.7500000000000001E-2</v>
      </c>
      <c r="O31" s="39">
        <v>4.7500000000000001E-2</v>
      </c>
    </row>
    <row r="32" spans="1:15" x14ac:dyDescent="0.3">
      <c r="A32" s="1" t="s">
        <v>10</v>
      </c>
      <c r="B32" s="1"/>
      <c r="C32" s="1"/>
      <c r="D32" s="9"/>
      <c r="F32" s="24"/>
      <c r="G32" s="27">
        <v>81.790999999999997</v>
      </c>
      <c r="H32" s="27">
        <v>89.769000000000005</v>
      </c>
      <c r="I32" s="27">
        <v>91.322000000000003</v>
      </c>
      <c r="J32" s="27">
        <v>111.262</v>
      </c>
      <c r="K32" s="14">
        <f>K26+K28+K30</f>
        <v>125.59945840799999</v>
      </c>
      <c r="L32" s="14">
        <f t="shared" ref="L32:O32" si="39">L26+L28+L30</f>
        <v>145.67371353365999</v>
      </c>
      <c r="M32" s="14">
        <f t="shared" si="39"/>
        <v>169.80736555112904</v>
      </c>
      <c r="N32" s="14">
        <f t="shared" si="39"/>
        <v>196.31011474460595</v>
      </c>
      <c r="O32" s="14">
        <f t="shared" si="39"/>
        <v>227.85796500036298</v>
      </c>
    </row>
    <row r="33" spans="1:15" x14ac:dyDescent="0.3">
      <c r="A33" s="1"/>
      <c r="B33" s="1"/>
      <c r="C33" s="1"/>
      <c r="D33" s="9"/>
      <c r="F33" s="24"/>
      <c r="G33" s="27"/>
      <c r="H33" s="27"/>
      <c r="I33" s="27"/>
      <c r="J33" s="27"/>
      <c r="K33" s="14"/>
      <c r="L33" s="14"/>
      <c r="M33" s="14"/>
      <c r="N33" s="14"/>
      <c r="O33" s="14"/>
    </row>
    <row r="34" spans="1:15" x14ac:dyDescent="0.3">
      <c r="A34" s="1" t="s">
        <v>11</v>
      </c>
      <c r="B34" s="1"/>
      <c r="C34" s="1"/>
      <c r="D34" s="9"/>
      <c r="F34" s="24"/>
      <c r="G34" s="27">
        <f>G24-G32</f>
        <v>74.841999999999956</v>
      </c>
      <c r="H34" s="27">
        <f>H24-H32</f>
        <v>84.293000000000006</v>
      </c>
      <c r="I34" s="27">
        <f>I24-I32</f>
        <v>112.38999999999996</v>
      </c>
      <c r="J34" s="27">
        <f>J24-J32</f>
        <v>129.03899999999996</v>
      </c>
      <c r="K34" s="40">
        <f t="shared" ref="K34:O34" si="40">K24-K32</f>
        <v>159.74754207199999</v>
      </c>
      <c r="L34" s="40">
        <f t="shared" si="40"/>
        <v>187.76330431073998</v>
      </c>
      <c r="M34" s="40">
        <f t="shared" si="40"/>
        <v>217.13597214541736</v>
      </c>
      <c r="N34" s="40">
        <f t="shared" si="40"/>
        <v>250.69583913305465</v>
      </c>
      <c r="O34" s="40">
        <f t="shared" si="40"/>
        <v>288.62008900045981</v>
      </c>
    </row>
    <row r="35" spans="1:15" x14ac:dyDescent="0.3">
      <c r="A35" s="16" t="s">
        <v>62</v>
      </c>
      <c r="B35" s="1"/>
      <c r="C35" s="1"/>
      <c r="D35" s="9"/>
      <c r="F35" s="24"/>
      <c r="G35" s="48">
        <f t="shared" ref="G35" si="41">G34/G20</f>
        <v>0.26461270842467</v>
      </c>
      <c r="H35" s="48">
        <f t="shared" ref="H35" si="42">H34/H20</f>
        <v>0.27421810445226646</v>
      </c>
      <c r="I35" s="48">
        <f t="shared" ref="I35" si="43">I34/I20</f>
        <v>0.32109777211457685</v>
      </c>
      <c r="J35" s="48">
        <f t="shared" ref="J35" si="44">J34/J20</f>
        <v>0.32032638592380019</v>
      </c>
      <c r="K35" s="39">
        <f t="shared" ref="K35" si="45">K34/K20</f>
        <v>0.34150000000000003</v>
      </c>
      <c r="L35" s="39">
        <f t="shared" ref="L35" si="46">L34/L20</f>
        <v>0.34350000000000003</v>
      </c>
      <c r="M35" s="39">
        <f t="shared" ref="M35" si="47">M34/M20</f>
        <v>0.33950000000000002</v>
      </c>
      <c r="N35" s="39">
        <f t="shared" ref="N35" si="48">N34/N20</f>
        <v>0.33649999999999997</v>
      </c>
      <c r="O35" s="39">
        <f t="shared" ref="O35" si="49">O34/O20</f>
        <v>0.33250000000000007</v>
      </c>
    </row>
    <row r="36" spans="1:15" x14ac:dyDescent="0.3">
      <c r="A36" s="22" t="s">
        <v>38</v>
      </c>
      <c r="B36" s="1"/>
      <c r="C36" s="1"/>
      <c r="D36" s="9" t="s">
        <v>115</v>
      </c>
      <c r="F36" s="24"/>
      <c r="G36" s="27">
        <v>-3.5139999999999998</v>
      </c>
      <c r="H36" s="27">
        <v>1.4239999999999999</v>
      </c>
      <c r="I36" s="27">
        <v>7.4249999999999998</v>
      </c>
      <c r="J36" s="27">
        <v>29.786999999999999</v>
      </c>
      <c r="K36" s="14">
        <v>0</v>
      </c>
      <c r="L36" s="14">
        <v>0</v>
      </c>
      <c r="M36" s="14">
        <v>0</v>
      </c>
      <c r="N36" s="14">
        <v>0</v>
      </c>
      <c r="O36" s="14">
        <v>0</v>
      </c>
    </row>
    <row r="37" spans="1:15" x14ac:dyDescent="0.3">
      <c r="A37" s="22"/>
      <c r="B37" s="1"/>
      <c r="C37" s="1"/>
      <c r="D37" s="9"/>
      <c r="F37" s="24"/>
      <c r="G37" s="27"/>
      <c r="H37" s="27"/>
      <c r="I37" s="27"/>
      <c r="J37" s="27"/>
      <c r="K37" s="14"/>
      <c r="L37" s="14"/>
      <c r="M37" s="14"/>
      <c r="N37" s="14"/>
      <c r="O37" s="14"/>
    </row>
    <row r="38" spans="1:15" x14ac:dyDescent="0.3">
      <c r="A38" s="23" t="s">
        <v>39</v>
      </c>
      <c r="B38" s="7"/>
      <c r="C38" s="7"/>
      <c r="D38" s="62"/>
      <c r="E38" s="7"/>
      <c r="F38" s="25"/>
      <c r="G38" s="28">
        <f>G34+G36</f>
        <v>71.32799999999996</v>
      </c>
      <c r="H38" s="28">
        <f t="shared" ref="H38:J38" si="50">H34+H36</f>
        <v>85.717000000000013</v>
      </c>
      <c r="I38" s="28">
        <f t="shared" si="50"/>
        <v>119.81499999999996</v>
      </c>
      <c r="J38" s="28">
        <f t="shared" si="50"/>
        <v>158.82599999999996</v>
      </c>
      <c r="K38" s="37">
        <f>K34+K36</f>
        <v>159.74754207199999</v>
      </c>
      <c r="L38" s="37">
        <f t="shared" ref="L38:O38" si="51">L34+L36</f>
        <v>187.76330431073998</v>
      </c>
      <c r="M38" s="37">
        <f t="shared" si="51"/>
        <v>217.13597214541736</v>
      </c>
      <c r="N38" s="37">
        <f t="shared" si="51"/>
        <v>250.69583913305465</v>
      </c>
      <c r="O38" s="37">
        <f t="shared" si="51"/>
        <v>288.62008900045981</v>
      </c>
    </row>
    <row r="39" spans="1:15" x14ac:dyDescent="0.3">
      <c r="A39" s="9"/>
      <c r="B39" s="8"/>
      <c r="C39" s="8"/>
      <c r="D39" s="9"/>
      <c r="F39" s="26"/>
      <c r="G39" s="27"/>
      <c r="H39" s="27"/>
      <c r="I39" s="27"/>
      <c r="J39" s="27"/>
      <c r="K39" s="14"/>
      <c r="L39" s="14"/>
      <c r="M39" s="14"/>
      <c r="N39" s="14"/>
      <c r="O39" s="14"/>
    </row>
    <row r="40" spans="1:15" x14ac:dyDescent="0.3">
      <c r="A40" s="22" t="s">
        <v>44</v>
      </c>
      <c r="B40" s="18"/>
      <c r="C40" s="6"/>
      <c r="D40" s="9" t="s">
        <v>116</v>
      </c>
      <c r="F40" s="24"/>
      <c r="G40" s="27">
        <v>11.356</v>
      </c>
      <c r="H40" s="27">
        <v>11.922000000000001</v>
      </c>
      <c r="I40" s="27">
        <v>19.696999999999999</v>
      </c>
      <c r="J40" s="27">
        <v>26.655999999999999</v>
      </c>
      <c r="K40" s="14">
        <f>K41*K38</f>
        <v>25.559606731519999</v>
      </c>
      <c r="L40" s="14">
        <f t="shared" ref="L40:O40" si="52">L41*L38</f>
        <v>30.042128689718396</v>
      </c>
      <c r="M40" s="14">
        <f t="shared" si="52"/>
        <v>34.741755543266777</v>
      </c>
      <c r="N40" s="14">
        <f t="shared" si="52"/>
        <v>40.111334261288746</v>
      </c>
      <c r="O40" s="14">
        <f t="shared" si="52"/>
        <v>46.17921424007357</v>
      </c>
    </row>
    <row r="41" spans="1:15" x14ac:dyDescent="0.3">
      <c r="A41" s="9"/>
      <c r="B41" s="8"/>
      <c r="C41" s="8"/>
      <c r="D41" s="9"/>
      <c r="F41" s="26"/>
      <c r="G41" s="50">
        <f>G40/G38</f>
        <v>0.15920816509645588</v>
      </c>
      <c r="H41" s="50">
        <f t="shared" ref="H41:J41" si="53">H40/H38</f>
        <v>0.13908559562280526</v>
      </c>
      <c r="I41" s="50">
        <f t="shared" si="53"/>
        <v>0.16439510912657018</v>
      </c>
      <c r="J41" s="50">
        <f t="shared" si="53"/>
        <v>0.1678314633624218</v>
      </c>
      <c r="K41" s="51">
        <v>0.16</v>
      </c>
      <c r="L41" s="51">
        <v>0.16</v>
      </c>
      <c r="M41" s="51">
        <v>0.16</v>
      </c>
      <c r="N41" s="51">
        <v>0.16</v>
      </c>
      <c r="O41" s="51">
        <v>0.16</v>
      </c>
    </row>
    <row r="42" spans="1:15" x14ac:dyDescent="0.3">
      <c r="A42" s="7" t="s">
        <v>12</v>
      </c>
      <c r="B42" s="7"/>
      <c r="C42" s="7"/>
      <c r="D42" s="62"/>
      <c r="E42" s="7"/>
      <c r="F42" s="25"/>
      <c r="G42" s="28">
        <f>G38-G40</f>
        <v>59.971999999999959</v>
      </c>
      <c r="H42" s="28">
        <f>H38-H40</f>
        <v>73.795000000000016</v>
      </c>
      <c r="I42" s="28">
        <f t="shared" ref="I42:O42" si="54">I38-I40</f>
        <v>100.11799999999995</v>
      </c>
      <c r="J42" s="28">
        <f t="shared" si="54"/>
        <v>132.16999999999996</v>
      </c>
      <c r="K42" s="36">
        <f t="shared" si="54"/>
        <v>134.18793534047998</v>
      </c>
      <c r="L42" s="36">
        <f t="shared" si="54"/>
        <v>157.72117562102159</v>
      </c>
      <c r="M42" s="36">
        <f t="shared" si="54"/>
        <v>182.39421660215058</v>
      </c>
      <c r="N42" s="36">
        <f t="shared" si="54"/>
        <v>210.58450487176589</v>
      </c>
      <c r="O42" s="36">
        <f t="shared" si="54"/>
        <v>242.44087476038624</v>
      </c>
    </row>
    <row r="43" spans="1:15" x14ac:dyDescent="0.3">
      <c r="A43" s="9"/>
      <c r="B43" s="8"/>
      <c r="C43" s="8"/>
      <c r="D43" s="9"/>
      <c r="F43" s="9"/>
      <c r="G43" s="11"/>
      <c r="H43" s="11"/>
      <c r="I43" s="11"/>
      <c r="J43" s="11"/>
      <c r="K43" s="14"/>
      <c r="L43" s="14"/>
      <c r="M43" s="14"/>
      <c r="N43" s="14"/>
      <c r="O43" s="14"/>
    </row>
    <row r="44" spans="1:15" x14ac:dyDescent="0.3">
      <c r="A44" s="9"/>
      <c r="B44" s="8"/>
      <c r="C44" s="8"/>
      <c r="D44" s="9"/>
      <c r="F44" s="9"/>
      <c r="G44" s="11"/>
      <c r="H44" s="11"/>
      <c r="I44" s="11"/>
      <c r="J44" s="11"/>
      <c r="K44" s="14"/>
      <c r="L44" s="14"/>
      <c r="M44" s="14"/>
      <c r="N44" s="14"/>
      <c r="O44" s="14"/>
    </row>
    <row r="45" spans="1:15" x14ac:dyDescent="0.3">
      <c r="A45" s="4" t="s">
        <v>13</v>
      </c>
      <c r="B45" s="4"/>
      <c r="C45" s="4"/>
      <c r="D45" s="71"/>
      <c r="E45" s="4"/>
      <c r="F45" s="4"/>
      <c r="G45" s="4"/>
      <c r="H45" s="4"/>
      <c r="I45" s="4"/>
      <c r="J45" s="4"/>
      <c r="K45" s="4"/>
      <c r="L45" s="4"/>
      <c r="M45" s="4"/>
      <c r="N45" s="4"/>
      <c r="O45" s="4"/>
    </row>
    <row r="46" spans="1:15" x14ac:dyDescent="0.3">
      <c r="A46" s="1" t="s">
        <v>14</v>
      </c>
      <c r="B46" s="1"/>
      <c r="C46" s="1"/>
      <c r="D46" s="9"/>
      <c r="F46" s="1"/>
      <c r="G46" s="27"/>
      <c r="H46" s="27"/>
      <c r="I46" s="27"/>
      <c r="J46" s="27"/>
      <c r="K46" s="40"/>
      <c r="L46" s="40"/>
      <c r="M46" s="40"/>
      <c r="N46" s="40"/>
      <c r="O46" s="14"/>
    </row>
    <row r="47" spans="1:15" x14ac:dyDescent="0.3">
      <c r="A47" s="16" t="s">
        <v>41</v>
      </c>
      <c r="B47" s="6"/>
      <c r="C47" s="6"/>
      <c r="D47" s="9"/>
      <c r="F47" s="1"/>
      <c r="G47" s="27">
        <v>21.879000000000001</v>
      </c>
      <c r="H47" s="27">
        <v>24.047999999999998</v>
      </c>
      <c r="I47" s="27">
        <v>23.466000000000001</v>
      </c>
      <c r="J47" s="27">
        <v>30.707999999999998</v>
      </c>
      <c r="K47" s="40">
        <f>K50*K48</f>
        <v>34.443191952505593</v>
      </c>
      <c r="L47" s="40">
        <f t="shared" ref="L47:O47" si="55">L50*L48</f>
        <v>42.922638459760741</v>
      </c>
      <c r="M47" s="40">
        <f t="shared" si="55"/>
        <v>57.211322826423086</v>
      </c>
      <c r="N47" s="40">
        <f t="shared" si="55"/>
        <v>80.875125952054233</v>
      </c>
      <c r="O47" s="40">
        <f t="shared" si="55"/>
        <v>116.63708064495358</v>
      </c>
    </row>
    <row r="48" spans="1:15" x14ac:dyDescent="0.3">
      <c r="A48" s="16"/>
      <c r="B48" s="6"/>
      <c r="C48" s="6"/>
      <c r="D48" s="9"/>
      <c r="F48" s="1"/>
      <c r="G48" s="53">
        <f>G47/G50</f>
        <v>0.19232256816863277</v>
      </c>
      <c r="H48" s="53">
        <f t="shared" ref="H48:J48" si="56">H47/H50</f>
        <v>0.21681272314183705</v>
      </c>
      <c r="I48" s="53">
        <f t="shared" si="56"/>
        <v>0.24531398643068461</v>
      </c>
      <c r="J48" s="53">
        <f t="shared" si="56"/>
        <v>0.24209455783921854</v>
      </c>
      <c r="K48" s="54">
        <v>0.22</v>
      </c>
      <c r="L48" s="54">
        <v>0.22</v>
      </c>
      <c r="M48" s="54">
        <v>0.22</v>
      </c>
      <c r="N48" s="54">
        <v>0.22</v>
      </c>
      <c r="O48" s="54">
        <v>0.22</v>
      </c>
    </row>
    <row r="49" spans="1:15" x14ac:dyDescent="0.3">
      <c r="A49" s="16" t="s">
        <v>42</v>
      </c>
      <c r="B49" s="6"/>
      <c r="C49" s="6"/>
      <c r="D49" s="9"/>
      <c r="F49" s="1"/>
      <c r="G49" s="27">
        <v>91.882999999999996</v>
      </c>
      <c r="H49" s="27">
        <v>86.867999999999995</v>
      </c>
      <c r="I49" s="27">
        <v>72.191000000000003</v>
      </c>
      <c r="J49" s="27">
        <v>96.135000000000005</v>
      </c>
      <c r="K49" s="40">
        <f>K50-K47</f>
        <v>122.11677146797436</v>
      </c>
      <c r="L49" s="40">
        <f t="shared" ref="L49:O49" si="57">L50-L47</f>
        <v>152.18026363006081</v>
      </c>
      <c r="M49" s="40">
        <f t="shared" si="57"/>
        <v>202.84014456640909</v>
      </c>
      <c r="N49" s="40">
        <f t="shared" si="57"/>
        <v>286.73908292091954</v>
      </c>
      <c r="O49" s="40">
        <f t="shared" si="57"/>
        <v>413.53146774119909</v>
      </c>
    </row>
    <row r="50" spans="1:15" x14ac:dyDescent="0.3">
      <c r="A50" s="16"/>
      <c r="B50" s="6"/>
      <c r="C50" s="6"/>
      <c r="D50" s="9"/>
      <c r="F50" s="1"/>
      <c r="G50" s="28">
        <f>G47+G49</f>
        <v>113.762</v>
      </c>
      <c r="H50" s="28">
        <f t="shared" ref="H50:J50" si="58">H47+H49</f>
        <v>110.916</v>
      </c>
      <c r="I50" s="28">
        <f t="shared" si="58"/>
        <v>95.657000000000011</v>
      </c>
      <c r="J50" s="28">
        <f t="shared" si="58"/>
        <v>126.843</v>
      </c>
      <c r="K50" s="36">
        <f>J50+K80</f>
        <v>156.55996342047996</v>
      </c>
      <c r="L50" s="36">
        <f>K50+L80</f>
        <v>195.10290208982155</v>
      </c>
      <c r="M50" s="36">
        <f>L50+M80</f>
        <v>260.05146739283219</v>
      </c>
      <c r="N50" s="36">
        <f>M50+N80</f>
        <v>367.61420887297379</v>
      </c>
      <c r="O50" s="36">
        <f>N50+O80</f>
        <v>530.16854838615268</v>
      </c>
    </row>
    <row r="51" spans="1:15" x14ac:dyDescent="0.3">
      <c r="A51" s="6"/>
      <c r="B51" s="6"/>
      <c r="C51" s="6"/>
      <c r="D51" s="8"/>
      <c r="F51" s="10"/>
      <c r="G51" s="27"/>
      <c r="H51" s="27"/>
      <c r="I51" s="27"/>
      <c r="J51" s="27"/>
      <c r="K51" s="40"/>
      <c r="L51" s="40"/>
      <c r="M51" s="40"/>
      <c r="N51" s="40"/>
      <c r="O51" s="14"/>
    </row>
    <row r="52" spans="1:15" x14ac:dyDescent="0.3">
      <c r="A52" s="1" t="s">
        <v>16</v>
      </c>
      <c r="B52" s="1"/>
      <c r="C52" s="1"/>
      <c r="D52" s="9"/>
      <c r="F52" s="1"/>
      <c r="G52" s="27"/>
      <c r="H52" s="27"/>
      <c r="I52" s="27"/>
      <c r="J52" s="27"/>
      <c r="K52" s="40"/>
      <c r="L52" s="40"/>
      <c r="M52" s="40"/>
      <c r="N52" s="40"/>
      <c r="O52" s="14"/>
    </row>
    <row r="53" spans="1:15" x14ac:dyDescent="0.3">
      <c r="A53" s="16" t="s">
        <v>52</v>
      </c>
      <c r="B53" s="6"/>
      <c r="C53" s="6"/>
      <c r="D53" s="9"/>
      <c r="F53" s="1"/>
      <c r="G53" s="27">
        <v>0</v>
      </c>
      <c r="H53" s="27">
        <v>0</v>
      </c>
      <c r="I53" s="27">
        <v>2.2999999999999998</v>
      </c>
      <c r="J53" s="27">
        <v>0</v>
      </c>
      <c r="K53" s="40"/>
      <c r="L53" s="40"/>
      <c r="M53" s="40"/>
      <c r="N53" s="40"/>
      <c r="O53" s="14"/>
    </row>
    <row r="54" spans="1:15" x14ac:dyDescent="0.3">
      <c r="A54" s="16" t="s">
        <v>53</v>
      </c>
      <c r="B54" s="6"/>
      <c r="C54" s="6"/>
      <c r="D54" s="9"/>
      <c r="F54" s="1"/>
      <c r="G54" s="27">
        <v>0</v>
      </c>
      <c r="H54" s="27">
        <v>1</v>
      </c>
      <c r="I54" s="27">
        <v>0.999</v>
      </c>
      <c r="J54" s="27">
        <v>1.996</v>
      </c>
      <c r="K54" s="40"/>
      <c r="L54" s="40"/>
      <c r="M54" s="40"/>
      <c r="N54" s="40"/>
      <c r="O54" s="14"/>
    </row>
    <row r="55" spans="1:15" x14ac:dyDescent="0.3">
      <c r="A55" s="16" t="s">
        <v>54</v>
      </c>
      <c r="B55" s="6"/>
      <c r="C55" s="6"/>
      <c r="D55" s="9"/>
      <c r="F55" s="1"/>
      <c r="G55" s="27">
        <v>0.29799999999999999</v>
      </c>
      <c r="H55" s="27">
        <v>0.36299999999999999</v>
      </c>
      <c r="I55" s="27">
        <v>0</v>
      </c>
      <c r="J55" s="27">
        <v>0</v>
      </c>
      <c r="K55" s="40"/>
      <c r="L55" s="40"/>
      <c r="M55" s="40"/>
      <c r="N55" s="40"/>
      <c r="O55" s="14"/>
    </row>
    <row r="56" spans="1:15" x14ac:dyDescent="0.3">
      <c r="A56" s="16" t="s">
        <v>51</v>
      </c>
      <c r="B56" s="6"/>
      <c r="C56" s="6"/>
      <c r="D56" s="9"/>
      <c r="F56" s="1"/>
      <c r="G56" s="27">
        <v>14.701000000000001</v>
      </c>
      <c r="H56" s="27">
        <v>13.253</v>
      </c>
      <c r="I56" s="27">
        <v>10.882999999999999</v>
      </c>
      <c r="J56" s="27">
        <v>46.546999999999997</v>
      </c>
      <c r="K56" s="40"/>
      <c r="L56" s="40"/>
      <c r="M56" s="40"/>
      <c r="N56" s="40"/>
      <c r="O56" s="14"/>
    </row>
    <row r="57" spans="1:15" ht="18" customHeight="1" x14ac:dyDescent="0.3">
      <c r="A57" s="16" t="s">
        <v>43</v>
      </c>
      <c r="B57" s="6"/>
      <c r="C57" s="6"/>
      <c r="D57" s="9" t="s">
        <v>117</v>
      </c>
      <c r="F57" s="1"/>
      <c r="G57" s="28">
        <f t="shared" ref="G57:I57" si="59">SUM(G53:G56)</f>
        <v>14.999000000000001</v>
      </c>
      <c r="H57" s="28">
        <f t="shared" si="59"/>
        <v>14.616</v>
      </c>
      <c r="I57" s="28">
        <f t="shared" si="59"/>
        <v>14.181999999999999</v>
      </c>
      <c r="J57" s="28">
        <f>SUM(J53:J56)</f>
        <v>48.542999999999999</v>
      </c>
      <c r="K57" s="36">
        <f>J57*(1+K58)</f>
        <v>63.105899999999998</v>
      </c>
      <c r="L57" s="36">
        <f t="shared" ref="L57" si="60">K57*(1+L58)</f>
        <v>88.348259999999996</v>
      </c>
      <c r="M57" s="36">
        <f t="shared" ref="M57" si="61">L57*(1+M58)</f>
        <v>123.68756399999998</v>
      </c>
      <c r="N57" s="36">
        <f t="shared" ref="N57" si="62">M57*(1+N58)</f>
        <v>154.60945499999997</v>
      </c>
      <c r="O57" s="36">
        <f t="shared" ref="O57" si="63">N57*(1+O58)</f>
        <v>185.53134599999996</v>
      </c>
    </row>
    <row r="58" spans="1:15" x14ac:dyDescent="0.3">
      <c r="A58" s="6"/>
      <c r="B58" s="6"/>
      <c r="C58" s="6"/>
      <c r="D58" s="8"/>
      <c r="F58" s="1"/>
      <c r="G58" s="33"/>
      <c r="H58" s="53">
        <f>(H57-G57)/G57</f>
        <v>-2.5535035669044661E-2</v>
      </c>
      <c r="I58" s="53">
        <f t="shared" ref="I58:J58" si="64">(I57-H57)/H57</f>
        <v>-2.9693486590038388E-2</v>
      </c>
      <c r="J58" s="53">
        <f t="shared" si="64"/>
        <v>2.4228599633338042</v>
      </c>
      <c r="K58" s="57">
        <v>0.3</v>
      </c>
      <c r="L58" s="57">
        <v>0.4</v>
      </c>
      <c r="M58" s="57">
        <v>0.4</v>
      </c>
      <c r="N58" s="57">
        <v>0.25</v>
      </c>
      <c r="O58" s="57">
        <v>0.2</v>
      </c>
    </row>
    <row r="59" spans="1:15" x14ac:dyDescent="0.3">
      <c r="A59" s="1" t="s">
        <v>17</v>
      </c>
      <c r="B59" s="1"/>
      <c r="C59" s="1"/>
      <c r="D59" s="9"/>
      <c r="F59" s="1"/>
      <c r="G59" s="27"/>
      <c r="H59" s="27"/>
      <c r="I59" s="27"/>
      <c r="J59" s="27"/>
      <c r="K59" s="40"/>
      <c r="L59" s="40"/>
      <c r="M59" s="40"/>
      <c r="N59" s="40"/>
      <c r="O59" s="14"/>
    </row>
    <row r="60" spans="1:15" x14ac:dyDescent="0.3">
      <c r="A60" s="16" t="s">
        <v>55</v>
      </c>
      <c r="B60" s="6"/>
      <c r="C60" s="6"/>
      <c r="D60" s="9"/>
      <c r="F60" s="1"/>
      <c r="G60" s="29">
        <v>13.153</v>
      </c>
      <c r="H60" s="29">
        <v>12.723000000000001</v>
      </c>
      <c r="I60" s="29">
        <v>12.452</v>
      </c>
      <c r="J60" s="29">
        <v>12.228</v>
      </c>
      <c r="K60" s="58">
        <f>J60*(1+K61)</f>
        <v>12.04458</v>
      </c>
      <c r="L60" s="58">
        <f t="shared" ref="L60:O60" si="65">K60*(1+L61)</f>
        <v>11.888000459999999</v>
      </c>
      <c r="M60" s="58">
        <f t="shared" si="65"/>
        <v>11.757232454939999</v>
      </c>
      <c r="N60" s="58">
        <f t="shared" si="65"/>
        <v>11.639660130390599</v>
      </c>
      <c r="O60" s="58">
        <f t="shared" si="65"/>
        <v>11.523263529086693</v>
      </c>
    </row>
    <row r="61" spans="1:15" x14ac:dyDescent="0.3">
      <c r="A61" s="6"/>
      <c r="B61" s="6"/>
      <c r="C61" s="6"/>
      <c r="D61" s="8"/>
      <c r="F61" s="1"/>
      <c r="G61" s="33"/>
      <c r="H61" s="53">
        <f>(H60-G60)/G60</f>
        <v>-3.2692161484072051E-2</v>
      </c>
      <c r="I61" s="53">
        <f t="shared" ref="I61:O61" si="66">(I60-H60)/H60</f>
        <v>-2.1300007859781558E-2</v>
      </c>
      <c r="J61" s="53">
        <f t="shared" si="66"/>
        <v>-1.7989078059749454E-2</v>
      </c>
      <c r="K61" s="57">
        <v>-1.4999999999999999E-2</v>
      </c>
      <c r="L61" s="57">
        <v>-1.2999999999999999E-2</v>
      </c>
      <c r="M61" s="57">
        <v>-1.0999999999999999E-2</v>
      </c>
      <c r="N61" s="57">
        <v>-0.01</v>
      </c>
      <c r="O61" s="57">
        <v>-0.01</v>
      </c>
    </row>
    <row r="62" spans="1:15" x14ac:dyDescent="0.3">
      <c r="D62" s="9"/>
      <c r="G62" s="11"/>
      <c r="H62" s="11"/>
      <c r="I62" s="11"/>
      <c r="J62" s="11"/>
      <c r="K62" s="14"/>
      <c r="L62" s="14"/>
      <c r="M62" s="14"/>
      <c r="N62" s="14"/>
      <c r="O62" s="14"/>
    </row>
    <row r="63" spans="1:15" x14ac:dyDescent="0.3">
      <c r="A63" s="4" t="s">
        <v>23</v>
      </c>
      <c r="B63" s="4"/>
      <c r="C63" s="4"/>
      <c r="D63" s="71"/>
      <c r="E63" s="4"/>
      <c r="F63" s="4"/>
      <c r="G63" s="4"/>
      <c r="H63" s="4"/>
      <c r="I63" s="4"/>
      <c r="J63" s="4"/>
      <c r="K63" s="4"/>
      <c r="L63" s="4"/>
      <c r="M63" s="4"/>
      <c r="N63" s="4"/>
      <c r="O63" s="4"/>
    </row>
    <row r="64" spans="1:15" x14ac:dyDescent="0.3">
      <c r="A64" t="s">
        <v>15</v>
      </c>
      <c r="D64" s="9"/>
      <c r="G64" s="11"/>
      <c r="H64" s="11"/>
      <c r="I64" s="11"/>
      <c r="J64" s="11"/>
      <c r="K64" s="14"/>
      <c r="L64" s="14"/>
      <c r="M64" s="14"/>
      <c r="N64" s="14"/>
      <c r="O64" s="14"/>
    </row>
    <row r="65" spans="1:15" x14ac:dyDescent="0.3">
      <c r="A65" s="16" t="str">
        <f>$A$42</f>
        <v>Net Income</v>
      </c>
      <c r="D65" s="9"/>
      <c r="G65" s="27">
        <f>G42</f>
        <v>59.971999999999959</v>
      </c>
      <c r="H65" s="27">
        <f>H42</f>
        <v>73.795000000000016</v>
      </c>
      <c r="I65" s="27">
        <f>I42</f>
        <v>100.11799999999995</v>
      </c>
      <c r="J65" s="27">
        <f>J42</f>
        <v>132.16999999999996</v>
      </c>
      <c r="K65" s="40">
        <f>K42</f>
        <v>134.18793534047998</v>
      </c>
      <c r="L65" s="40">
        <f>L42</f>
        <v>157.72117562102159</v>
      </c>
      <c r="M65" s="40">
        <f>M42</f>
        <v>182.39421660215058</v>
      </c>
      <c r="N65" s="40">
        <f>N42</f>
        <v>210.58450487176589</v>
      </c>
      <c r="O65" s="40">
        <f>O42</f>
        <v>242.44087476038624</v>
      </c>
    </row>
    <row r="66" spans="1:15" x14ac:dyDescent="0.3">
      <c r="A66" s="16" t="s">
        <v>48</v>
      </c>
      <c r="D66" s="9" t="s">
        <v>118</v>
      </c>
      <c r="G66" s="27">
        <v>13.475</v>
      </c>
      <c r="H66" s="27">
        <v>11.946</v>
      </c>
      <c r="I66" s="27">
        <v>15.311</v>
      </c>
      <c r="J66" s="27">
        <v>21.135999999999999</v>
      </c>
      <c r="K66" s="40">
        <f>J66*(1+K67)</f>
        <v>30.647199999999998</v>
      </c>
      <c r="L66" s="40">
        <f t="shared" ref="L66:O66" si="67">K66*(1+L67)</f>
        <v>42.906079999999996</v>
      </c>
      <c r="M66" s="40">
        <f t="shared" si="67"/>
        <v>58.781329599999999</v>
      </c>
      <c r="N66" s="40">
        <f t="shared" si="67"/>
        <v>78.179168368000006</v>
      </c>
      <c r="O66" s="40">
        <f t="shared" si="67"/>
        <v>100.85112719472001</v>
      </c>
    </row>
    <row r="67" spans="1:15" x14ac:dyDescent="0.3">
      <c r="A67" s="16"/>
      <c r="D67" s="9" t="s">
        <v>63</v>
      </c>
      <c r="G67" s="33"/>
      <c r="H67" s="56">
        <f>(H66-G66)/G66</f>
        <v>-0.11346938775510204</v>
      </c>
      <c r="I67" s="56">
        <f t="shared" ref="I67:J67" si="68">(I66-H66)/H66</f>
        <v>0.28168424577264356</v>
      </c>
      <c r="J67" s="56">
        <f t="shared" si="68"/>
        <v>0.38044543138919729</v>
      </c>
      <c r="K67" s="57">
        <v>0.45</v>
      </c>
      <c r="L67" s="57">
        <v>0.4</v>
      </c>
      <c r="M67" s="57">
        <v>0.37</v>
      </c>
      <c r="N67" s="57">
        <v>0.33</v>
      </c>
      <c r="O67" s="57">
        <v>0.28999999999999998</v>
      </c>
    </row>
    <row r="68" spans="1:15" x14ac:dyDescent="0.3">
      <c r="A68" s="16" t="s">
        <v>64</v>
      </c>
      <c r="D68" s="9"/>
      <c r="G68" s="27">
        <f>-9.9095-0.625-1.846+0.283+7.304+1.682+0.774</f>
        <v>-2.3374999999999999</v>
      </c>
      <c r="H68" s="27">
        <v>-3.8450000000000002</v>
      </c>
      <c r="I68" s="27">
        <v>-8.4060000000000006</v>
      </c>
      <c r="J68" s="27">
        <v>0.61799999999999999</v>
      </c>
      <c r="K68" s="40">
        <f>J68*(1+K69)</f>
        <v>0.61490999999999996</v>
      </c>
      <c r="L68" s="40">
        <f t="shared" ref="L68" si="69">K68*(1+L69)</f>
        <v>0.61183544999999995</v>
      </c>
      <c r="M68" s="40">
        <f t="shared" ref="M68" si="70">L68*(1+M69)</f>
        <v>0.6087762727499999</v>
      </c>
      <c r="N68" s="40">
        <f t="shared" ref="N68" si="71">M68*(1+N69)</f>
        <v>0.6057323913862499</v>
      </c>
      <c r="O68" s="40">
        <f t="shared" ref="O68" si="72">N68*(1+O69)</f>
        <v>0.6027037294293186</v>
      </c>
    </row>
    <row r="69" spans="1:15" x14ac:dyDescent="0.3">
      <c r="A69" s="16"/>
      <c r="D69" s="9" t="s">
        <v>63</v>
      </c>
      <c r="G69" s="56">
        <f>G68/G20</f>
        <v>-8.264506639890255E-3</v>
      </c>
      <c r="H69" s="56">
        <f>H68/H20</f>
        <v>-1.25083768713768E-2</v>
      </c>
      <c r="I69" s="56">
        <f>I68/I20</f>
        <v>-2.4015907753315548E-2</v>
      </c>
      <c r="J69" s="56">
        <f>J68/J20</f>
        <v>1.5341230674517671E-3</v>
      </c>
      <c r="K69" s="57">
        <v>-5.0000000000000001E-3</v>
      </c>
      <c r="L69" s="57">
        <v>-5.0000000000000001E-3</v>
      </c>
      <c r="M69" s="57">
        <v>-5.0000000000000001E-3</v>
      </c>
      <c r="N69" s="57">
        <v>-5.0000000000000001E-3</v>
      </c>
      <c r="O69" s="57">
        <v>-5.0000000000000001E-3</v>
      </c>
    </row>
    <row r="70" spans="1:15" x14ac:dyDescent="0.3">
      <c r="A70" s="16" t="s">
        <v>45</v>
      </c>
      <c r="D70" s="52"/>
      <c r="G70" s="27">
        <v>19.361999999999998</v>
      </c>
      <c r="H70" s="27">
        <v>22.46</v>
      </c>
      <c r="I70" s="27">
        <v>22.785</v>
      </c>
      <c r="J70" s="27">
        <v>24.952999999999999</v>
      </c>
      <c r="K70" s="40">
        <f>K71*K20</f>
        <v>28.066918079999997</v>
      </c>
      <c r="L70" s="40">
        <f>L71*L20</f>
        <v>31.703847598319996</v>
      </c>
      <c r="M70" s="40">
        <f>M71*M20</f>
        <v>35.816242828110077</v>
      </c>
      <c r="N70" s="40">
        <f>N71*N20</f>
        <v>40.230535848989454</v>
      </c>
      <c r="O70" s="40">
        <f>O71*O20</f>
        <v>45.13757782864333</v>
      </c>
    </row>
    <row r="71" spans="1:15" x14ac:dyDescent="0.3">
      <c r="A71" s="16"/>
      <c r="D71" s="9" t="str">
        <f>A70 &amp; "/Revenue"</f>
        <v>Stock-based compensation/Revenue</v>
      </c>
      <c r="G71" s="56">
        <f>G70/G20</f>
        <v>6.8456632111895233E-2</v>
      </c>
      <c r="H71" s="56">
        <f>H70/H20</f>
        <v>7.3065837329290742E-2</v>
      </c>
      <c r="I71" s="56">
        <f>I70/I20</f>
        <v>6.5096652172174002E-2</v>
      </c>
      <c r="J71" s="56">
        <f>J70/J20</f>
        <v>6.1943321848096998E-2</v>
      </c>
      <c r="K71" s="57">
        <v>0.06</v>
      </c>
      <c r="L71" s="57">
        <v>5.8000000000000003E-2</v>
      </c>
      <c r="M71" s="57">
        <v>5.6000000000000001E-2</v>
      </c>
      <c r="N71" s="57">
        <v>5.3999999999999999E-2</v>
      </c>
      <c r="O71" s="57">
        <v>5.1999999999999998E-2</v>
      </c>
    </row>
    <row r="72" spans="1:15" x14ac:dyDescent="0.3">
      <c r="A72" s="16" t="s">
        <v>47</v>
      </c>
      <c r="D72" s="9" t="s">
        <v>119</v>
      </c>
      <c r="G72" s="27">
        <v>-8.1980000000000004</v>
      </c>
      <c r="H72" s="27">
        <v>-7.7629999999999999</v>
      </c>
      <c r="I72" s="27">
        <v>-5.2569999999999997</v>
      </c>
      <c r="J72" s="27">
        <v>8.3480000000000008</v>
      </c>
      <c r="K72" s="40">
        <f>K73*K77</f>
        <v>16.2</v>
      </c>
      <c r="L72" s="40">
        <f t="shared" ref="L72:O72" si="73">L73*L77</f>
        <v>21.6</v>
      </c>
      <c r="M72" s="40">
        <f t="shared" si="73"/>
        <v>24.948</v>
      </c>
      <c r="N72" s="40">
        <f t="shared" si="73"/>
        <v>27.442800000000005</v>
      </c>
      <c r="O72" s="40">
        <f t="shared" si="73"/>
        <v>27.991656000000006</v>
      </c>
    </row>
    <row r="73" spans="1:15" x14ac:dyDescent="0.3">
      <c r="A73" s="16"/>
      <c r="D73" s="9" t="str">
        <f>A72 &amp; "/CapEX"</f>
        <v>Deffered Taxes/CapEX</v>
      </c>
      <c r="G73" s="56">
        <f>G72/G77</f>
        <v>-0.26037795775766237</v>
      </c>
      <c r="H73" s="56">
        <f t="shared" ref="H73:J73" si="74">H72/H77</f>
        <v>-0.24070571455148679</v>
      </c>
      <c r="I73" s="56">
        <f t="shared" si="74"/>
        <v>-0.10006662225183212</v>
      </c>
      <c r="J73" s="56">
        <f t="shared" si="74"/>
        <v>9.1287849792776155E-2</v>
      </c>
      <c r="K73" s="57">
        <v>0.09</v>
      </c>
      <c r="L73" s="57">
        <v>0.1</v>
      </c>
      <c r="M73" s="57">
        <v>0.105</v>
      </c>
      <c r="N73" s="57">
        <v>0.11</v>
      </c>
      <c r="O73" s="57">
        <v>0.11</v>
      </c>
    </row>
    <row r="74" spans="1:15" x14ac:dyDescent="0.3">
      <c r="A74" s="16" t="s">
        <v>50</v>
      </c>
      <c r="D74" s="9" t="s">
        <v>120</v>
      </c>
      <c r="G74" s="27">
        <f>5.519+3.483</f>
        <v>9.0020000000000007</v>
      </c>
      <c r="H74" s="27">
        <f>0.823+4.33</f>
        <v>5.1530000000000005</v>
      </c>
      <c r="I74" s="27">
        <f>-2.671+3.419</f>
        <v>0.74800000000000022</v>
      </c>
      <c r="J74" s="27">
        <f>-24.62+2.108</f>
        <v>-22.512</v>
      </c>
      <c r="K74" s="40">
        <v>0</v>
      </c>
      <c r="L74" s="40">
        <v>0</v>
      </c>
      <c r="M74" s="40">
        <v>0</v>
      </c>
      <c r="N74" s="40">
        <v>0</v>
      </c>
      <c r="O74" s="40">
        <v>0</v>
      </c>
    </row>
    <row r="75" spans="1:15" x14ac:dyDescent="0.3">
      <c r="A75" s="22" t="s">
        <v>46</v>
      </c>
      <c r="D75" s="9"/>
      <c r="G75" s="28">
        <f>G74+G72+G70+G68+G66+G65</f>
        <v>91.275499999999965</v>
      </c>
      <c r="H75" s="28">
        <f t="shared" ref="H75:O75" si="75">H74+H72+H70+H68+H66+H65</f>
        <v>101.74600000000001</v>
      </c>
      <c r="I75" s="28">
        <f t="shared" si="75"/>
        <v>125.29899999999995</v>
      </c>
      <c r="J75" s="28">
        <f t="shared" si="75"/>
        <v>164.71299999999997</v>
      </c>
      <c r="K75" s="36">
        <f t="shared" si="75"/>
        <v>209.71696342047997</v>
      </c>
      <c r="L75" s="36">
        <f t="shared" si="75"/>
        <v>254.54293866934159</v>
      </c>
      <c r="M75" s="36">
        <f t="shared" si="75"/>
        <v>302.54856530301066</v>
      </c>
      <c r="N75" s="36">
        <f t="shared" si="75"/>
        <v>357.04274148014161</v>
      </c>
      <c r="O75" s="36">
        <f t="shared" si="75"/>
        <v>417.0239395131789</v>
      </c>
    </row>
    <row r="76" spans="1:15" x14ac:dyDescent="0.3">
      <c r="D76" s="9"/>
      <c r="G76" s="27"/>
      <c r="H76" s="27"/>
      <c r="I76" s="27"/>
      <c r="J76" s="27"/>
      <c r="K76" s="40"/>
      <c r="L76" s="40"/>
      <c r="M76" s="40"/>
      <c r="N76" s="40"/>
      <c r="O76" s="14"/>
    </row>
    <row r="77" spans="1:15" x14ac:dyDescent="0.3">
      <c r="A77" s="16" t="s">
        <v>49</v>
      </c>
      <c r="D77" s="9" t="s">
        <v>121</v>
      </c>
      <c r="G77" s="27">
        <v>31.484999999999999</v>
      </c>
      <c r="H77" s="27">
        <v>32.250999999999998</v>
      </c>
      <c r="I77" s="27">
        <v>52.534999999999997</v>
      </c>
      <c r="J77" s="27">
        <v>91.447000000000003</v>
      </c>
      <c r="K77" s="55">
        <v>180</v>
      </c>
      <c r="L77" s="40">
        <f>K77*(1+L78)</f>
        <v>216</v>
      </c>
      <c r="M77" s="40">
        <f t="shared" ref="M77" si="76">L77*(1+M78)</f>
        <v>237.60000000000002</v>
      </c>
      <c r="N77" s="40">
        <f t="shared" ref="N77" si="77">M77*(1+N78)</f>
        <v>249.48000000000005</v>
      </c>
      <c r="O77" s="40">
        <f>N77*(1+O78)</f>
        <v>254.46960000000004</v>
      </c>
    </row>
    <row r="78" spans="1:15" x14ac:dyDescent="0.3">
      <c r="A78" s="16"/>
      <c r="D78" s="9"/>
      <c r="G78" s="27"/>
      <c r="H78" s="53">
        <f>(H77-G77)/G77</f>
        <v>2.4329045577258956E-2</v>
      </c>
      <c r="I78" s="53">
        <f t="shared" ref="I78:K78" si="78">(I77-H77)/H77</f>
        <v>0.62894173824067467</v>
      </c>
      <c r="J78" s="53">
        <f t="shared" si="78"/>
        <v>0.74068716094032572</v>
      </c>
      <c r="K78" s="54">
        <f t="shared" si="78"/>
        <v>0.96835325379728143</v>
      </c>
      <c r="L78" s="54">
        <v>0.2</v>
      </c>
      <c r="M78" s="54">
        <v>0.1</v>
      </c>
      <c r="N78" s="51">
        <v>0.05</v>
      </c>
      <c r="O78" s="51">
        <v>0.02</v>
      </c>
    </row>
    <row r="79" spans="1:15" x14ac:dyDescent="0.3">
      <c r="A79" s="16"/>
      <c r="D79" s="9"/>
      <c r="G79" s="27"/>
      <c r="H79" s="27"/>
      <c r="I79" s="27"/>
      <c r="J79" s="27"/>
      <c r="K79" s="40"/>
      <c r="L79" s="40"/>
      <c r="M79" s="40"/>
      <c r="N79" s="40"/>
      <c r="O79" s="14"/>
    </row>
    <row r="80" spans="1:15" x14ac:dyDescent="0.3">
      <c r="A80" s="12" t="s">
        <v>40</v>
      </c>
      <c r="B80" s="12"/>
      <c r="C80" s="12"/>
      <c r="D80" s="62"/>
      <c r="E80" s="12"/>
      <c r="F80" s="12"/>
      <c r="G80" s="28">
        <f>G75-G77</f>
        <v>59.790499999999966</v>
      </c>
      <c r="H80" s="28">
        <f t="shared" ref="H80:O80" si="79">H75-H77</f>
        <v>69.495000000000005</v>
      </c>
      <c r="I80" s="28">
        <f t="shared" si="79"/>
        <v>72.763999999999953</v>
      </c>
      <c r="J80" s="28">
        <f t="shared" si="79"/>
        <v>73.265999999999963</v>
      </c>
      <c r="K80" s="36">
        <f t="shared" si="79"/>
        <v>29.716963420479971</v>
      </c>
      <c r="L80" s="36">
        <f t="shared" si="79"/>
        <v>38.542938669341595</v>
      </c>
      <c r="M80" s="36">
        <f t="shared" si="79"/>
        <v>64.948565303010639</v>
      </c>
      <c r="N80" s="36">
        <f t="shared" si="79"/>
        <v>107.56274148014157</v>
      </c>
      <c r="O80" s="36">
        <f t="shared" si="79"/>
        <v>162.55433951317886</v>
      </c>
    </row>
    <row r="81" spans="7:15" x14ac:dyDescent="0.3">
      <c r="G81" s="11"/>
      <c r="H81" s="11"/>
      <c r="I81" s="11"/>
      <c r="J81" s="11"/>
      <c r="K81" s="14"/>
      <c r="L81" s="14"/>
      <c r="M81" s="14"/>
      <c r="N81" s="14"/>
      <c r="O81" s="14"/>
    </row>
    <row r="82" spans="7:15" x14ac:dyDescent="0.3">
      <c r="G82" s="11"/>
      <c r="H82" s="11"/>
      <c r="I82" s="11"/>
      <c r="J82" s="11"/>
      <c r="K82" s="14"/>
      <c r="L82" s="14"/>
      <c r="M82" s="14"/>
      <c r="N82" s="14"/>
      <c r="O82" s="14"/>
    </row>
  </sheetData>
  <conditionalFormatting sqref="F2:XFD2 A2:D2">
    <cfRule type="cellIs" dxfId="3" priority="9" operator="equal">
      <formula>"Forecast"</formula>
    </cfRule>
    <cfRule type="cellIs" dxfId="2" priority="10" operator="equal">
      <formula>"Actual"</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997E-5D5E-475B-A9D8-F342ED439267}">
  <dimension ref="A1:D28"/>
  <sheetViews>
    <sheetView tabSelected="1" topLeftCell="A6" zoomScale="90" zoomScaleNormal="90" workbookViewId="0">
      <selection activeCell="D17" sqref="D17"/>
    </sheetView>
  </sheetViews>
  <sheetFormatPr defaultRowHeight="13.8" x14ac:dyDescent="0.3"/>
  <cols>
    <col min="1" max="1" width="23.44140625" style="69" bestFit="1" customWidth="1"/>
    <col min="2" max="2" width="29.88671875" bestFit="1" customWidth="1"/>
    <col min="3" max="3" width="19.109375" style="73" bestFit="1" customWidth="1"/>
    <col min="4" max="4" width="111.88671875" style="30" bestFit="1" customWidth="1"/>
  </cols>
  <sheetData>
    <row r="1" spans="1:4" x14ac:dyDescent="0.3">
      <c r="B1" s="3"/>
      <c r="D1" s="70" t="s">
        <v>97</v>
      </c>
    </row>
    <row r="2" spans="1:4" x14ac:dyDescent="0.3">
      <c r="A2" s="69" t="s">
        <v>95</v>
      </c>
      <c r="B2" t="s">
        <v>67</v>
      </c>
      <c r="C2" s="74">
        <v>4.163E-2</v>
      </c>
      <c r="D2" s="30" t="s">
        <v>100</v>
      </c>
    </row>
    <row r="3" spans="1:4" x14ac:dyDescent="0.3">
      <c r="B3" t="s">
        <v>65</v>
      </c>
      <c r="C3" s="75">
        <v>1.24</v>
      </c>
      <c r="D3" s="30" t="s">
        <v>101</v>
      </c>
    </row>
    <row r="4" spans="1:4" x14ac:dyDescent="0.3">
      <c r="B4" t="s">
        <v>66</v>
      </c>
      <c r="C4" s="76">
        <v>4.2299999999999997E-2</v>
      </c>
      <c r="D4" s="30" t="s">
        <v>102</v>
      </c>
    </row>
    <row r="5" spans="1:4" x14ac:dyDescent="0.3">
      <c r="B5" s="3" t="s">
        <v>68</v>
      </c>
      <c r="C5" s="79">
        <v>9.4100000000000003E-2</v>
      </c>
      <c r="D5" s="30" t="s">
        <v>103</v>
      </c>
    </row>
    <row r="7" spans="1:4" x14ac:dyDescent="0.3">
      <c r="B7" s="3"/>
    </row>
    <row r="8" spans="1:4" x14ac:dyDescent="0.3">
      <c r="A8" s="69" t="s">
        <v>96</v>
      </c>
      <c r="B8" t="s">
        <v>83</v>
      </c>
      <c r="C8" s="76">
        <v>4.6600000000000003E-2</v>
      </c>
      <c r="D8" s="30" t="s">
        <v>111</v>
      </c>
    </row>
    <row r="9" spans="1:4" ht="19.8" customHeight="1" x14ac:dyDescent="0.3">
      <c r="B9" s="35" t="s">
        <v>84</v>
      </c>
      <c r="C9" s="79">
        <f>C8*(1-'Operating Model'!K41)</f>
        <v>3.9143999999999998E-2</v>
      </c>
      <c r="D9" s="30" t="s">
        <v>104</v>
      </c>
    </row>
    <row r="10" spans="1:4" ht="19.8" customHeight="1" x14ac:dyDescent="0.3">
      <c r="B10" s="34"/>
      <c r="C10" s="76"/>
    </row>
    <row r="11" spans="1:4" x14ac:dyDescent="0.3">
      <c r="A11" s="69" t="s">
        <v>98</v>
      </c>
      <c r="B11" t="s">
        <v>94</v>
      </c>
      <c r="C11" s="77">
        <v>313.8</v>
      </c>
      <c r="D11" s="30" t="s">
        <v>112</v>
      </c>
    </row>
    <row r="12" spans="1:4" x14ac:dyDescent="0.3">
      <c r="B12" t="s">
        <v>69</v>
      </c>
      <c r="C12" s="49">
        <v>12.228</v>
      </c>
      <c r="D12" s="30" t="s">
        <v>93</v>
      </c>
    </row>
    <row r="13" spans="1:4" x14ac:dyDescent="0.3">
      <c r="B13" t="s">
        <v>85</v>
      </c>
      <c r="C13" s="66">
        <f>C11*C12</f>
        <v>3837.1464000000001</v>
      </c>
      <c r="D13" s="30" t="s">
        <v>105</v>
      </c>
    </row>
    <row r="14" spans="1:4" x14ac:dyDescent="0.3">
      <c r="B14" t="s">
        <v>86</v>
      </c>
      <c r="C14" s="66">
        <f>'Operating Model'!J57</f>
        <v>48.542999999999999</v>
      </c>
      <c r="D14" s="30" t="s">
        <v>106</v>
      </c>
    </row>
    <row r="15" spans="1:4" x14ac:dyDescent="0.3">
      <c r="B15" t="s">
        <v>87</v>
      </c>
      <c r="C15" s="66">
        <f>C13+C14</f>
        <v>3885.6894000000002</v>
      </c>
    </row>
    <row r="17" spans="1:4" x14ac:dyDescent="0.3">
      <c r="B17" t="s">
        <v>70</v>
      </c>
      <c r="C17" s="78">
        <v>0.98750000000000004</v>
      </c>
    </row>
    <row r="18" spans="1:4" x14ac:dyDescent="0.3">
      <c r="B18" t="s">
        <v>71</v>
      </c>
      <c r="C18" s="78">
        <v>1.2500000000000001E-2</v>
      </c>
    </row>
    <row r="19" spans="1:4" x14ac:dyDescent="0.3">
      <c r="C19" s="78"/>
    </row>
    <row r="20" spans="1:4" x14ac:dyDescent="0.3">
      <c r="B20" s="3" t="s">
        <v>72</v>
      </c>
      <c r="C20" s="80">
        <f>(C17*C5)+(C18*C9)</f>
        <v>9.3413050000000011E-2</v>
      </c>
      <c r="D20" s="30" t="s">
        <v>107</v>
      </c>
    </row>
    <row r="21" spans="1:4" x14ac:dyDescent="0.3">
      <c r="C21" s="78"/>
    </row>
    <row r="22" spans="1:4" x14ac:dyDescent="0.3">
      <c r="C22" s="78"/>
    </row>
    <row r="23" spans="1:4" x14ac:dyDescent="0.3">
      <c r="A23" s="69" t="s">
        <v>99</v>
      </c>
      <c r="B23" t="s">
        <v>80</v>
      </c>
      <c r="C23" s="78">
        <v>2.5000000000000001E-2</v>
      </c>
      <c r="D23" s="30" t="s">
        <v>113</v>
      </c>
    </row>
    <row r="24" spans="1:4" x14ac:dyDescent="0.3">
      <c r="B24" t="s">
        <v>91</v>
      </c>
      <c r="C24" s="66">
        <f>DCF!M10/(WACC!C20-WACC!C23)</f>
        <v>3623.3456234845662</v>
      </c>
      <c r="D24" s="30" t="s">
        <v>108</v>
      </c>
    </row>
    <row r="25" spans="1:4" x14ac:dyDescent="0.3">
      <c r="B25" t="s">
        <v>92</v>
      </c>
      <c r="C25" s="66">
        <f>C24/((1+C20)^5)</f>
        <v>2318.4006921447367</v>
      </c>
    </row>
    <row r="26" spans="1:4" x14ac:dyDescent="0.3">
      <c r="B26" t="s">
        <v>82</v>
      </c>
      <c r="C26" s="66">
        <f>C25+SUM(DCF!H11:L11)</f>
        <v>2376.3758440081529</v>
      </c>
      <c r="D26" s="30" t="s">
        <v>109</v>
      </c>
    </row>
    <row r="27" spans="1:4" x14ac:dyDescent="0.3">
      <c r="B27" t="s">
        <v>88</v>
      </c>
      <c r="C27" s="66">
        <f>C26-'Operating Model'!J57+'Operating Model'!J50</f>
        <v>2454.6758440081526</v>
      </c>
      <c r="D27" s="30" t="s">
        <v>110</v>
      </c>
    </row>
    <row r="28" spans="1:4" x14ac:dyDescent="0.3">
      <c r="B28" s="3" t="s">
        <v>89</v>
      </c>
      <c r="C28" s="81">
        <f>C27/'Operating Model'!J60</f>
        <v>200.7422181884325</v>
      </c>
      <c r="D28" s="30" t="s">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8D451-F599-4E15-95A8-FFC319BD897B}">
  <dimension ref="A1:M14"/>
  <sheetViews>
    <sheetView workbookViewId="0">
      <selection activeCell="O4" sqref="O4"/>
    </sheetView>
  </sheetViews>
  <sheetFormatPr defaultRowHeight="13.8" x14ac:dyDescent="0.3"/>
  <cols>
    <col min="1" max="1" width="24.33203125" bestFit="1" customWidth="1"/>
    <col min="8" max="8" width="10.44140625" bestFit="1" customWidth="1"/>
  </cols>
  <sheetData>
    <row r="1" spans="1:13" x14ac:dyDescent="0.3">
      <c r="A1" s="3" t="s">
        <v>122</v>
      </c>
      <c r="B1" s="13"/>
      <c r="C1" s="1"/>
      <c r="D1" s="1"/>
      <c r="E1" s="1"/>
    </row>
    <row r="2" spans="1:13" x14ac:dyDescent="0.3">
      <c r="A2" s="3"/>
      <c r="B2" s="72"/>
      <c r="C2" s="1"/>
      <c r="D2" s="1"/>
      <c r="E2" s="1"/>
      <c r="F2" s="1"/>
      <c r="G2" s="2" t="s">
        <v>0</v>
      </c>
      <c r="H2" s="41" t="s">
        <v>25</v>
      </c>
      <c r="I2" s="41" t="s">
        <v>25</v>
      </c>
      <c r="J2" s="41" t="s">
        <v>25</v>
      </c>
      <c r="K2" s="41" t="s">
        <v>25</v>
      </c>
      <c r="L2" s="41" t="s">
        <v>25</v>
      </c>
      <c r="M2" s="41" t="s">
        <v>123</v>
      </c>
    </row>
    <row r="3" spans="1:13" x14ac:dyDescent="0.3">
      <c r="A3" s="3" t="s">
        <v>3</v>
      </c>
      <c r="B3" s="3" t="s">
        <v>4</v>
      </c>
      <c r="C3" s="3"/>
      <c r="D3" s="3"/>
      <c r="E3" s="3"/>
      <c r="F3" s="3" t="s">
        <v>5</v>
      </c>
      <c r="G3" s="2" t="s">
        <v>2</v>
      </c>
      <c r="H3" s="20">
        <v>2026</v>
      </c>
      <c r="I3" s="20">
        <v>2027</v>
      </c>
      <c r="J3" s="20">
        <v>2028</v>
      </c>
      <c r="K3" s="20">
        <v>2029</v>
      </c>
      <c r="L3" s="20">
        <v>2030</v>
      </c>
      <c r="M3" s="20">
        <v>2031</v>
      </c>
    </row>
    <row r="4" spans="1:13" x14ac:dyDescent="0.3">
      <c r="A4" s="4" t="s">
        <v>73</v>
      </c>
      <c r="B4" s="4"/>
      <c r="C4" s="4"/>
      <c r="D4" s="4"/>
      <c r="E4" s="4"/>
      <c r="F4" s="4"/>
      <c r="G4" s="4"/>
      <c r="H4" s="42"/>
      <c r="I4" s="42"/>
      <c r="J4" s="42"/>
      <c r="K4" s="42"/>
      <c r="L4" s="42"/>
      <c r="M4" s="42"/>
    </row>
    <row r="5" spans="1:13" x14ac:dyDescent="0.3">
      <c r="A5" s="59" t="s">
        <v>75</v>
      </c>
      <c r="B5" s="1"/>
      <c r="C5" s="1"/>
      <c r="D5" s="1"/>
      <c r="E5" s="1"/>
      <c r="F5" s="1"/>
      <c r="G5" s="1"/>
      <c r="H5" s="43"/>
      <c r="I5" s="43"/>
      <c r="J5" s="43"/>
      <c r="K5" s="43"/>
      <c r="L5" s="43"/>
    </row>
    <row r="6" spans="1:13" x14ac:dyDescent="0.3">
      <c r="A6" s="21" t="s">
        <v>74</v>
      </c>
      <c r="B6" s="9" t="s">
        <v>76</v>
      </c>
      <c r="C6" s="6"/>
      <c r="D6" s="6"/>
      <c r="E6" s="6"/>
      <c r="G6" s="24"/>
      <c r="H6" s="40">
        <f>'Operating Model'!K34*(1-'Operating Model'!K41)</f>
        <v>134.18793534047998</v>
      </c>
      <c r="I6" s="40">
        <f>'Operating Model'!L34*(1-'Operating Model'!L41)</f>
        <v>157.72117562102159</v>
      </c>
      <c r="J6" s="40">
        <f>'Operating Model'!M34*(1-'Operating Model'!M41)</f>
        <v>182.39421660215058</v>
      </c>
      <c r="K6" s="40">
        <f>'Operating Model'!N34*(1-'Operating Model'!N41)</f>
        <v>210.58450487176589</v>
      </c>
      <c r="L6" s="40">
        <f>'Operating Model'!O34*(1-'Operating Model'!O41)</f>
        <v>242.44087476038624</v>
      </c>
      <c r="M6" s="40">
        <f>L6*(1+WACC!$C$23)</f>
        <v>248.50189662939587</v>
      </c>
    </row>
    <row r="7" spans="1:13" x14ac:dyDescent="0.3">
      <c r="A7" s="21" t="s">
        <v>77</v>
      </c>
      <c r="B7" s="9"/>
      <c r="C7" s="6"/>
      <c r="D7" s="6"/>
      <c r="E7" s="6"/>
      <c r="G7" s="24"/>
      <c r="H7" s="40">
        <f>'Operating Model'!K66</f>
        <v>30.647199999999998</v>
      </c>
      <c r="I7" s="40">
        <f>'Operating Model'!L66</f>
        <v>42.906079999999996</v>
      </c>
      <c r="J7" s="40">
        <f>'Operating Model'!M66</f>
        <v>58.781329599999999</v>
      </c>
      <c r="K7" s="40">
        <f>'Operating Model'!N66</f>
        <v>78.179168368000006</v>
      </c>
      <c r="L7" s="40">
        <f>'Operating Model'!O66</f>
        <v>100.85112719472001</v>
      </c>
      <c r="M7" s="40">
        <f>L7*(1+WACC!$C$23)</f>
        <v>103.372405374588</v>
      </c>
    </row>
    <row r="8" spans="1:13" x14ac:dyDescent="0.3">
      <c r="A8" s="60" t="s">
        <v>78</v>
      </c>
      <c r="B8" s="9"/>
      <c r="C8" s="8"/>
      <c r="D8" s="8"/>
      <c r="E8" s="8"/>
      <c r="F8" s="9"/>
      <c r="G8" s="26"/>
      <c r="H8" s="40">
        <f>'Operating Model'!K77</f>
        <v>180</v>
      </c>
      <c r="I8" s="40">
        <f>'Operating Model'!L77</f>
        <v>216</v>
      </c>
      <c r="J8" s="40">
        <f>'Operating Model'!M77</f>
        <v>237.60000000000002</v>
      </c>
      <c r="K8" s="40">
        <f>'Operating Model'!N77</f>
        <v>249.48000000000005</v>
      </c>
      <c r="L8" s="40">
        <f>'Operating Model'!O77</f>
        <v>254.46960000000004</v>
      </c>
      <c r="M8" s="40">
        <f>M7</f>
        <v>103.372405374588</v>
      </c>
    </row>
    <row r="9" spans="1:13" x14ac:dyDescent="0.3">
      <c r="A9" s="21" t="s">
        <v>79</v>
      </c>
      <c r="B9" s="9"/>
      <c r="C9" s="6"/>
      <c r="D9" s="6"/>
      <c r="E9" s="6"/>
      <c r="G9" s="24"/>
      <c r="H9" s="40">
        <f>'Operating Model'!K68</f>
        <v>0.61490999999999996</v>
      </c>
      <c r="I9" s="40">
        <f>'Operating Model'!L68</f>
        <v>0.61183544999999995</v>
      </c>
      <c r="J9" s="40">
        <f>'Operating Model'!M68</f>
        <v>0.6087762727499999</v>
      </c>
      <c r="K9" s="40">
        <f>'Operating Model'!N68</f>
        <v>0.6057323913862499</v>
      </c>
      <c r="L9" s="40">
        <f>'Operating Model'!O68</f>
        <v>0.6027037294293186</v>
      </c>
      <c r="M9" s="40">
        <f>L9*(1+WACC!$C$23)</f>
        <v>0.61777132266505153</v>
      </c>
    </row>
    <row r="10" spans="1:13" x14ac:dyDescent="0.3">
      <c r="A10" s="61"/>
      <c r="B10" s="62"/>
      <c r="C10" s="63"/>
      <c r="D10" s="63"/>
      <c r="E10" s="63"/>
      <c r="F10" s="62"/>
      <c r="G10" s="64"/>
      <c r="H10" s="36">
        <f>H6+H7-H8-H9</f>
        <v>-15.779774659520021</v>
      </c>
      <c r="I10" s="36">
        <f t="shared" ref="I10:M10" si="0">I6+I7-I8-I9</f>
        <v>-15.98457982897841</v>
      </c>
      <c r="J10" s="36">
        <f t="shared" si="0"/>
        <v>2.9667699294005478</v>
      </c>
      <c r="K10" s="36">
        <f t="shared" si="0"/>
        <v>38.677940848379627</v>
      </c>
      <c r="L10" s="36">
        <f t="shared" si="0"/>
        <v>88.219698225676865</v>
      </c>
      <c r="M10" s="36">
        <f t="shared" si="0"/>
        <v>247.88412530673082</v>
      </c>
    </row>
    <row r="11" spans="1:13" x14ac:dyDescent="0.3">
      <c r="A11" s="22" t="s">
        <v>81</v>
      </c>
      <c r="C11" s="6"/>
      <c r="D11" s="6"/>
      <c r="E11" s="6"/>
      <c r="G11" s="24"/>
      <c r="H11" s="40">
        <f>H10/((1+WACC!$C$20)^1)</f>
        <v>-14.431668489341718</v>
      </c>
      <c r="I11" s="40">
        <f>I10/((1+WACC!$C$20)^2)</f>
        <v>-13.370040382947549</v>
      </c>
      <c r="J11" s="40">
        <f>J10/((1+WACC!$C$20)^3)</f>
        <v>2.269504820983165</v>
      </c>
      <c r="K11" s="40">
        <f>K10/((1+WACC!$C$20)^4)</f>
        <v>27.059909085039294</v>
      </c>
      <c r="L11" s="40">
        <f>L10/((1+WACC!$C$20)^5)</f>
        <v>56.447446829682832</v>
      </c>
      <c r="M11" s="68"/>
    </row>
    <row r="12" spans="1:13" x14ac:dyDescent="0.3">
      <c r="A12" s="30"/>
      <c r="B12" s="9"/>
      <c r="C12" s="8"/>
      <c r="D12" s="8"/>
      <c r="E12" s="8"/>
      <c r="F12" s="9"/>
      <c r="G12" s="26"/>
      <c r="H12" s="65"/>
      <c r="I12" s="65"/>
      <c r="J12" s="65"/>
      <c r="K12" s="65"/>
      <c r="L12" s="65"/>
    </row>
    <row r="13" spans="1:13" x14ac:dyDescent="0.3">
      <c r="A13" s="16"/>
      <c r="B13" s="1"/>
      <c r="C13" s="1"/>
      <c r="D13" s="1"/>
      <c r="E13" s="1"/>
      <c r="G13" s="24"/>
      <c r="H13" s="66"/>
      <c r="I13" s="66"/>
      <c r="J13" s="66"/>
      <c r="K13" s="66"/>
      <c r="L13" s="66"/>
    </row>
    <row r="14" spans="1:13" x14ac:dyDescent="0.3">
      <c r="H14" s="67"/>
      <c r="I14" s="67"/>
      <c r="J14" s="67"/>
      <c r="K14" s="67"/>
      <c r="L14" s="67"/>
    </row>
  </sheetData>
  <conditionalFormatting sqref="A1:E1 A2:M2">
    <cfRule type="cellIs" dxfId="1" priority="1" operator="equal">
      <formula>"Forecast"</formula>
    </cfRule>
    <cfRule type="cellIs" dxfId="0" priority="2" operator="equal">
      <formula>"Actual"</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A56CC034E8724C8DEC5DFB20C06A66" ma:contentTypeVersion="9" ma:contentTypeDescription="Create a new document." ma:contentTypeScope="" ma:versionID="861f0196a001f4b6fbd0d4d902ebc27e">
  <xsd:schema xmlns:xsd="http://www.w3.org/2001/XMLSchema" xmlns:xs="http://www.w3.org/2001/XMLSchema" xmlns:p="http://schemas.microsoft.com/office/2006/metadata/properties" xmlns:ns3="2c918a32-db2e-41e1-993e-2fb16b4b6018" targetNamespace="http://schemas.microsoft.com/office/2006/metadata/properties" ma:root="true" ma:fieldsID="b788b4ae9b1aeb262c231b5cf6202bd6" ns3:_="">
    <xsd:import namespace="2c918a32-db2e-41e1-993e-2fb16b4b601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3:MediaServiceDateTaken" minOccurs="0"/>
                <xsd:element ref="ns3:MediaServiceObjectDetectorVersions" minOccurs="0"/>
                <xsd:element ref="ns3:MediaServiceAuto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18a32-db2e-41e1-993e-2fb16b4b6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c918a32-db2e-41e1-993e-2fb16b4b6018" xsi:nil="true"/>
  </documentManagement>
</p:properties>
</file>

<file path=customXml/itemProps1.xml><?xml version="1.0" encoding="utf-8"?>
<ds:datastoreItem xmlns:ds="http://schemas.openxmlformats.org/officeDocument/2006/customXml" ds:itemID="{076D6A2B-1CCD-4820-9E67-B1D9F6F6A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918a32-db2e-41e1-993e-2fb16b4b6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99DDC4-6C15-4143-B1F6-1C6E3477C613}">
  <ds:schemaRefs>
    <ds:schemaRef ds:uri="http://schemas.microsoft.com/sharepoint/v3/contenttype/forms"/>
  </ds:schemaRefs>
</ds:datastoreItem>
</file>

<file path=customXml/itemProps3.xml><?xml version="1.0" encoding="utf-8"?>
<ds:datastoreItem xmlns:ds="http://schemas.openxmlformats.org/officeDocument/2006/customXml" ds:itemID="{B897B6FD-0426-48F0-8244-E49E3D17F577}">
  <ds:schemaRefs>
    <ds:schemaRef ds:uri="http://schemas.microsoft.com/office/infopath/2007/PartnerControls"/>
    <ds:schemaRef ds:uri="http://purl.org/dc/elements/1.1/"/>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openxmlformats.org/package/2006/metadata/core-properties"/>
    <ds:schemaRef ds:uri="2c918a32-db2e-41e1-993e-2fb16b4b60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Control Panel</vt:lpstr>
      <vt:lpstr>Operating Model</vt:lpstr>
      <vt:lpstr>WACC</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Reilly</dc:creator>
  <cp:lastModifiedBy>Anjan Mohal</cp:lastModifiedBy>
  <cp:lastPrinted>2023-07-12T20:14:14Z</cp:lastPrinted>
  <dcterms:created xsi:type="dcterms:W3CDTF">2023-06-19T16:51:51Z</dcterms:created>
  <dcterms:modified xsi:type="dcterms:W3CDTF">2026-08-23T23:56:01Z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0x0101008BA56CC034E8724C8DEC5DFB20C06A66</vt:lpwstr>
  </property>
</Properties>
</file>